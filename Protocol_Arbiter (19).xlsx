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rotocol_Arbiter" sheetId="2" r:id="rId5"/>
    <sheet name="Function_Arbiter" sheetId="3" r:id="rId6"/>
    <sheet name="Command_Arbiter" sheetId="4" r:id="rId7"/>
    <sheet name="Pre_All" sheetId="5" r:id="rId8"/>
    <sheet name="BP_If" sheetId="6" r:id="rId9"/>
    <sheet name="Parameter_Info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<sst xmlns="http://schemas.openxmlformats.org/spreadsheetml/2006/main" count="1" uniqueCount="1">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</sst>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13.5"/>
      <color rgb="FF000000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F959E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horizontal="center" vertical="center" wrapText="true"/>
    </xf>
    <xf applyAlignment="true" applyBorder="false" applyFill="false" applyFont="true" applyNumberFormat="false" applyProtection="false" borderId="4" fillId="0" fontId="1" numFmtId="0" xfId="0">
      <alignment horizontal="center" vertical="top" wrapText="true"/>
    </xf>
    <xf applyAlignment="true" applyBorder="false" applyFill="true" applyFont="true" applyNumberFormat="false" applyProtection="false" borderId="5" fillId="2" fontId="2" numFmtId="0" xfId="0">
      <alignment horizontal="center" vertical="center"/>
    </xf>
    <xf applyAlignment="true" applyBorder="false" applyFill="false" applyFont="true" applyNumberFormat="false" applyProtection="false" borderId="6" fillId="0" fontId="3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vertical="bottom"/>
    </xf>
    <xf applyAlignment="true" applyBorder="false" applyFill="true" applyFont="true" applyNumberFormat="false" applyProtection="false" borderId="8" fillId="3" fontId="1" numFmtId="0" xfId="0">
      <alignment vertical="center"/>
    </xf>
    <xf applyAlignment="true" applyBorder="false" applyFill="true" applyFont="true" applyNumberFormat="false" applyProtection="false" borderId="9" fillId="4" fontId="1" numFmtId="0" xfId="0">
      <alignment horizontal="left" vertical="center"/>
    </xf>
    <xf applyAlignment="true" applyBorder="false" applyFill="true" applyFont="true" applyNumberFormat="false" applyProtection="false" borderId="10" fillId="5" fontId="1" numFmtId="0" xfId="0">
      <alignment horizontal="center" vertical="center"/>
    </xf>
    <xf applyAlignment="true" applyBorder="false" applyFill="false" applyFont="true" applyNumberFormat="false" applyProtection="false" borderId="11" fillId="0" fontId="4" numFmtId="0" xfId="0">
      <alignment vertical="center"/>
    </xf>
    <xf applyAlignment="true" applyBorder="false" applyFill="true" applyFont="true" applyNumberFormat="false" applyProtection="false" borderId="12" fillId="6" fontId="1" numFmtId="0" xfId="0">
      <alignment horizontal="center" vertical="center"/>
    </xf>
    <xf applyAlignment="true" applyBorder="false" applyFill="true" applyFont="true" applyNumberFormat="false" applyProtection="false" borderId="13" fillId="7" fontId="1" numFmtId="0" xfId="0">
      <alignment vertical="center"/>
    </xf>
    <xf applyAlignment="true" applyBorder="false" applyFill="true" applyFont="true" applyNumberFormat="false" applyProtection="false" borderId="14" fillId="8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6"/>
    <col collapsed="false" customWidth="true" hidden="false" max="3" min="3" style="0" width="43"/>
    <col collapsed="false" customWidth="true" hidden="false" max="4" min="4" style="0" width="59"/>
    <col collapsed="false" customWidth="true" hidden="false" max="5" min="5" style="0" width="15"/>
    <col collapsed="false" customWidth="true" hidden="false" max="6" min="6" style="0" width="31"/>
    <col collapsed="false" customWidth="true" hidden="false" max="7" min="7" style="0" width="17"/>
    <col collapsed="false" customWidth="true" hidden="false" max="8" min="8" style="0" width="18"/>
    <col collapsed="false" customWidth="true" hidden="false" max="9" min="9" style="0" width="86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Connection</v>
      </c>
      <c r="G1" s="5" t="str">
        <v>Clock Domain</v>
      </c>
      <c r="H1" s="5" t="str">
        <v>TAG</v>
      </c>
      <c r="I1" s="5" t="str">
        <v>Description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3" t="str">
        <v>CLK &amp; RESET Interface</v>
      </c>
      <c r="B2" s="4" t="str">
        <v>input</v>
      </c>
      <c r="C2" s="4" t="str">
        <v>ddrc_clk</v>
      </c>
      <c r="D2" s="4">
        <v>1</v>
      </c>
      <c r="E2" s="1" t="str">
        <v>CRG</v>
      </c>
      <c r="F2" s="4" t="str">
        <v>ddrc_clk</v>
      </c>
      <c r="G2" s="4" t="str">
        <v>core_clk
</v>
      </c>
      <c r="H2" s="1"/>
      <c r="I2" s="4" t="str">
        <v>core_clk
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3"/>
      <c r="B3" s="4" t="str">
        <v>input</v>
      </c>
      <c r="C3" s="4" t="str">
        <v>ddrc_rst_n</v>
      </c>
      <c r="D3" s="4">
        <v>1</v>
      </c>
      <c r="E3" s="1" t="str">
        <v>CRG</v>
      </c>
      <c r="F3" s="4" t="str">
        <v>ddrc_rst_n</v>
      </c>
      <c r="G3" s="4" t="str">
        <v>async
</v>
      </c>
      <c r="H3" s="1"/>
      <c r="I3" s="4" t="str">
        <v>core_rstn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1" t="str">
        <v>Bank Queue BE</v>
      </c>
      <c r="B4" s="4" t="str">
        <v>input</v>
      </c>
      <c r="C4" s="3" t="str">
        <v>actpre_pa_cmd_vld</v>
      </c>
      <c r="D4" s="3">
        <v>1</v>
      </c>
      <c r="E4" s="1" t="str">
        <v>BQ_BE</v>
      </c>
      <c r="F4" s="4" t="str">
        <v>actpre_pa_cmd_vld</v>
      </c>
      <c r="G4" s="4" t="str">
        <v>core_clk
</v>
      </c>
      <c r="H4" s="1" t="str">
        <v>act/pre_if_be</v>
      </c>
      <c r="I4" s="4" t="str">
        <v>ACT/PRE command valid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1"/>
      <c r="B5" s="4" t="str">
        <v>output</v>
      </c>
      <c r="C5" s="3" t="str">
        <v>actpre_pa_cmd_rdy</v>
      </c>
      <c r="D5" s="3">
        <v>1</v>
      </c>
      <c r="E5" s="1" t="str">
        <v>BQ_BE</v>
      </c>
      <c r="F5" s="4" t="str">
        <v>actpre_pa_cmd_rdy</v>
      </c>
      <c r="G5" s="4" t="str">
        <v>core_clk
</v>
      </c>
      <c r="H5" s="1" t="str">
        <v>act/pre_if_be</v>
      </c>
      <c r="I5" s="4" t="str">
        <v>act_pre_load(Load is connected, Grant will be connected if timing could not meet)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>
      <c r="A6" s="1"/>
      <c r="B6" s="3" t="str">
        <v>input
</v>
      </c>
      <c r="C6" s="3" t="str">
        <v>actpre_pa_cmd_type
</v>
      </c>
      <c r="D6" s="3">
        <v>2</v>
      </c>
      <c r="E6" s="1" t="str">
        <v>BQ_BE</v>
      </c>
      <c r="F6" s="3" t="str">
        <v>actpre_pa_cmd_type</v>
      </c>
      <c r="G6" s="3" t="str">
        <v>core_clk
</v>
      </c>
      <c r="H6" s="1" t="str">
        <v>act/pre_if_be</v>
      </c>
      <c r="I6" s="3" t="str">
        <v>2'b00: ACT-1
2'b01: ACT-2
2'b10: PREpb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1"/>
      <c r="B7" s="4" t="str">
        <v>input</v>
      </c>
      <c r="C7" s="3" t="str">
        <v>actpre_pa_cmd_hqos</v>
      </c>
      <c r="D7" s="3">
        <v>1</v>
      </c>
      <c r="E7" s="1" t="str">
        <v>BQ_BE</v>
      </c>
      <c r="F7" s="4" t="str">
        <v>actpre_pa_cmd_hqos</v>
      </c>
      <c r="G7" s="4" t="str">
        <v>core_clk
</v>
      </c>
      <c r="H7" s="1" t="str">
        <v>act/pre_if_be</v>
      </c>
      <c r="I7" s="4" t="str">
        <v>ACT/PRE QoS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A8" s="1"/>
      <c r="B8" s="4" t="str">
        <v>input</v>
      </c>
      <c r="C8" s="3" t="str">
        <v>rdwr_pa_cmd_vld</v>
      </c>
      <c r="D8" s="3">
        <v>1</v>
      </c>
      <c r="E8" s="1" t="str">
        <v>BQ_BE</v>
      </c>
      <c r="F8" s="4" t="str">
        <v>rdwr_pa_cmd_vld</v>
      </c>
      <c r="G8" s="4" t="str">
        <v>core_clk
</v>
      </c>
      <c r="H8" s="1" t="str">
        <v>rd/wr_if_be</v>
      </c>
      <c r="I8" s="4" t="str">
        <v>command valid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>
      <c r="A9" s="1"/>
      <c r="B9" s="4" t="str">
        <v>output</v>
      </c>
      <c r="C9" s="3" t="str">
        <v>rdwr_pa_cmd_rdy</v>
      </c>
      <c r="D9" s="3">
        <v>1</v>
      </c>
      <c r="E9" s="1" t="str">
        <v>BQ_BE</v>
      </c>
      <c r="F9" s="4" t="str">
        <v>rdwr_pa_cmd_rdy</v>
      </c>
      <c r="G9" s="4" t="str">
        <v>core_clk
</v>
      </c>
      <c r="H9" s="1" t="str">
        <v>rd/wr_if_be</v>
      </c>
      <c r="I9" s="4" t="str">
        <v>load(Load is connected, Grant will be connected if timing could not meet)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>
      <c r="A10" s="1"/>
      <c r="B10" s="3" t="str">
        <v>input</v>
      </c>
      <c r="C10" s="3" t="str">
        <v>rdwr_pa_cmd_type</v>
      </c>
      <c r="D10" s="3">
        <v>2</v>
      </c>
      <c r="E10" s="1" t="str">
        <v>BQ_BE</v>
      </c>
      <c r="F10" s="3" t="str">
        <v>rdwr_pa_cmd_type</v>
      </c>
      <c r="G10" s="3" t="str">
        <v>core_clk
</v>
      </c>
      <c r="H10" s="1" t="str">
        <v>rd/wr_if_be</v>
      </c>
      <c r="I10" s="3" t="str">
        <v>RD
WR
RDA
WRA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>
      <c r="A11" s="1"/>
      <c r="B11" s="4" t="str">
        <v>input</v>
      </c>
      <c r="C11" s="3" t="str">
        <v>rdwr_pa_cmd_hqos</v>
      </c>
      <c r="D11" s="3">
        <v>1</v>
      </c>
      <c r="E11" s="1" t="str">
        <v>BQ_BE</v>
      </c>
      <c r="F11" s="4" t="str">
        <v>rdwr_pa_cmd_hqos</v>
      </c>
      <c r="G11" s="4" t="str">
        <v>core_clk
</v>
      </c>
      <c r="H11" s="1" t="str">
        <v>rd/wr_if_be</v>
      </c>
      <c r="I11" s="4" t="str">
        <v>QoS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1"/>
      <c r="B12" s="4" t="str">
        <v>output</v>
      </c>
      <c r="C12" s="4" t="str">
        <v>pre_gnt_be</v>
      </c>
      <c r="D12" s="1">
        <v>1</v>
      </c>
      <c r="E12" s="1" t="str">
        <v>BQ_BE</v>
      </c>
      <c r="F12" s="4" t="str">
        <v>pre_gnt</v>
      </c>
      <c r="G12" s="4" t="str">
        <v>core_clk
</v>
      </c>
      <c r="H12" s="1" t="str">
        <v>pre_gnt_if_be</v>
      </c>
      <c r="I12" s="4" t="str" xml:space="preserve">
        <v>Gnt Type Pulse 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>
      <c r="A13" s="1"/>
      <c r="B13" s="4" t="str">
        <v>output</v>
      </c>
      <c r="C13" s="4" t="str">
        <v>pre_gnt_type_be</v>
      </c>
      <c r="D13" s="1">
        <v>1</v>
      </c>
      <c r="E13" s="1" t="str">
        <v>BQ_BE</v>
      </c>
      <c r="F13" s="4" t="str">
        <v>pre_gnt_type</v>
      </c>
      <c r="G13" s="4" t="str">
        <v>core_clk
</v>
      </c>
      <c r="H13" s="1" t="str">
        <v>pre_gnt_if_be</v>
      </c>
      <c r="I13" s="4" t="str" xml:space="preserve">
        <v>Gnt Type Pulse 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1"/>
      <c r="B14" s="4" t="str">
        <v>output</v>
      </c>
      <c r="C14" s="4" t="str">
        <v>pre_gnt_bank_be</v>
      </c>
      <c r="D14" s="4" t="str">
        <v>[DDRC_SCRKBGBK_WIDTH-1:0]</v>
      </c>
      <c r="E14" s="1" t="str">
        <v>BQ_BE</v>
      </c>
      <c r="F14" s="4" t="str">
        <v>pre_gnt_bank</v>
      </c>
      <c r="G14" s="4" t="str">
        <v>core_clk
</v>
      </c>
      <c r="H14" s="1" t="str">
        <v>pre_gnt_if_be</v>
      </c>
      <c r="I14" s="4" t="str" xml:space="preserve">
        <v>Gnt Type Pulse 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customHeight="true" ht="19" r="15">
      <c r="A15" s="1"/>
      <c r="B15" s="4" t="str">
        <v>output</v>
      </c>
      <c r="C15" s="4" t="str">
        <v>flush_req</v>
      </c>
      <c r="D15" s="4" t="str">
        <v>RK_NUM*SC_NUM</v>
      </c>
      <c r="E15" s="1" t="str">
        <v>BQ_BE</v>
      </c>
      <c r="F15" s="4" t="str">
        <v>pa_flush_req</v>
      </c>
      <c r="G15" s="4" t="str">
        <v>core_clk
</v>
      </c>
      <c r="H15" s="1" t="str">
        <v>pre_gnt_if_be</v>
      </c>
      <c r="I15" s="4" t="str">
        <v>pb_bp_if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customHeight="true" ht="19" r="16">
      <c r="A16" s="1"/>
      <c r="B16" s="4" t="str">
        <v>input</v>
      </c>
      <c r="C16" s="4" t="str">
        <v>flush_done</v>
      </c>
      <c r="D16" s="4">
        <v>1</v>
      </c>
      <c r="E16" s="1" t="str">
        <v>BQ_BE</v>
      </c>
      <c r="F16" s="4" t="str">
        <v>flush_done</v>
      </c>
      <c r="G16" s="4" t="str">
        <v>core_clk
</v>
      </c>
      <c r="H16" s="1" t="str">
        <v>pre_gnt_if_be</v>
      </c>
      <c r="I16" s="4" t="str">
        <v>pb_bp_if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1"/>
      <c r="B17" s="4" t="str">
        <v>input</v>
      </c>
      <c r="C17" s="4" t="str">
        <v>bank_close_info</v>
      </c>
      <c r="D17" s="1" t="str">
        <v>RK_NUM*SC_NUM</v>
      </c>
      <c r="E17" s="1" t="str">
        <v>BQ_BE</v>
      </c>
      <c r="F17" s="1" t="str">
        <v>be_rank_close_info</v>
      </c>
      <c r="G17" s="4" t="str">
        <v>core_clk
</v>
      </c>
      <c r="H17" s="1" t="str">
        <v>pre_gnt_if_be</v>
      </c>
      <c r="I17" s="4" t="str">
        <v>pre_al_if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1" t="str">
        <v>Auto Ref</v>
      </c>
      <c r="B18" s="4" t="str">
        <v>input</v>
      </c>
      <c r="C18" s="4" t="str">
        <v>bp_req_ref</v>
      </c>
      <c r="D18" s="1" t="str">
        <v>RK_NUM*SC_NUM</v>
      </c>
      <c r="E18" s="1" t="str">
        <v>ARF</v>
      </c>
      <c r="F18" s="4" t="str">
        <v>bp_req_ref</v>
      </c>
      <c r="G18" s="4" t="str">
        <v>core_clk
</v>
      </c>
      <c r="H18" s="1" t="str">
        <v>bp_if_ref</v>
      </c>
      <c r="I18" s="4" t="str">
        <v>3DS will be dropped in Protocol arbiter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1"/>
      <c r="B19" s="4" t="str">
        <v>input</v>
      </c>
      <c r="C19" s="4" t="str">
        <v>bq_type_ref</v>
      </c>
      <c r="D19" s="1" t="str">
        <v>RK_NUM*SC_NUM</v>
      </c>
      <c r="E19" s="1" t="str">
        <v>ARF</v>
      </c>
      <c r="F19" s="4" t="str">
        <v>bp_type_ref</v>
      </c>
      <c r="G19" s="4" t="str">
        <v>core_clk
</v>
      </c>
      <c r="H19" s="1" t="str">
        <v>bp_if_ref</v>
      </c>
      <c r="I19" s="4" t="str">
        <v>bq_type_ref 0 dual bank 1 all bank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1"/>
      <c r="B20" s="4" t="str">
        <v>input</v>
      </c>
      <c r="C20" s="4" t="str">
        <v>bp_bgbk_0_ref</v>
      </c>
      <c r="D20" s="4" t="str">
        <v>DDRC_BGBK_WIDTH*RK_NUM*SC_NUM</v>
      </c>
      <c r="E20" s="1" t="str">
        <v>ARF</v>
      </c>
      <c r="F20" s="4" t="str">
        <v>bp_bgbk_0_ref</v>
      </c>
      <c r="G20" s="4" t="str">
        <v>core_clk
</v>
      </c>
      <c r="H20" s="1" t="str">
        <v>bp_if_ref</v>
      </c>
      <c r="I20" s="4" t="str">
        <v>bp_rnkbgbk_0_ref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>
      <c r="A21" s="1"/>
      <c r="B21" s="4" t="str">
        <v>input</v>
      </c>
      <c r="C21" s="4" t="str">
        <v>bp_bgbk_1_ref</v>
      </c>
      <c r="D21" s="4" t="str">
        <v>DDRC_BGBK_WIDTH*RK_NUM*SC_NUM</v>
      </c>
      <c r="E21" s="1" t="str">
        <v>ARF</v>
      </c>
      <c r="F21" s="4" t="str">
        <v>bp_bgbk_1_ref</v>
      </c>
      <c r="G21" s="4" t="str">
        <v>core_clk
</v>
      </c>
      <c r="H21" s="1" t="str">
        <v>bp_if_ref</v>
      </c>
      <c r="I21" s="4" t="str">
        <v>bp_rnkbgbk_1_ref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1"/>
      <c r="B22" s="4" t="str">
        <v>input</v>
      </c>
      <c r="C22" s="4" t="str">
        <v>pre_all_intent_ref</v>
      </c>
      <c r="D22" s="1" t="str">
        <v>RK_NUM*SC_NUM</v>
      </c>
      <c r="E22" s="1" t="str">
        <v>ARF</v>
      </c>
      <c r="F22" s="4" t="str">
        <v>pre_all_intent_ref</v>
      </c>
      <c r="G22" s="4" t="str">
        <v>core_clk
</v>
      </c>
      <c r="H22" s="1" t="str">
        <v>pre_all_if_ref</v>
      </c>
      <c r="I22" s="4" t="str">
        <v>pre_all_intent_ref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>
      <c r="A23" s="1"/>
      <c r="B23" s="4" t="str">
        <v>input</v>
      </c>
      <c r="C23" s="4" t="str">
        <v>pre_all_intent_qos_ref</v>
      </c>
      <c r="D23" s="1" t="str">
        <v>RK_NUM*SC_NUM</v>
      </c>
      <c r="E23" s="1" t="str">
        <v>ARF</v>
      </c>
      <c r="F23" s="4" t="str">
        <v>pre_all_intent_qos_ref</v>
      </c>
      <c r="G23" s="4" t="str">
        <v>core_clk
</v>
      </c>
      <c r="H23" s="1" t="str">
        <v>pre_all_if_ref</v>
      </c>
      <c r="I23" s="4" t="str">
        <v>pre_all_intent_qos_ref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>
      <c r="A24" s="1"/>
      <c r="B24" s="4" t="str">
        <v>output</v>
      </c>
      <c r="C24" s="4" t="str">
        <v>pre_all_intent_grant_ref</v>
      </c>
      <c r="D24" s="1" t="str">
        <v>RK_NUM*SC_NUM</v>
      </c>
      <c r="E24" s="1" t="str">
        <v>ARF</v>
      </c>
      <c r="F24" s="4" t="str">
        <v>pre_all_intent_grant_ref</v>
      </c>
      <c r="G24" s="4" t="str">
        <v>core_clk
</v>
      </c>
      <c r="H24" s="1" t="str">
        <v>pre_all_if_ref</v>
      </c>
      <c r="I24" s="4" t="str">
        <v>pre_all_intent_grant_ref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1"/>
      <c r="B25" s="4" t="str">
        <v>input</v>
      </c>
      <c r="C25" s="4" t="str">
        <v>prepb_req_ref</v>
      </c>
      <c r="D25" s="1" t="str">
        <v>RK_NUM*SC_NUM</v>
      </c>
      <c r="E25" s="1" t="str">
        <v>ARF</v>
      </c>
      <c r="F25" s="4" t="str">
        <v>prepb_req_ref</v>
      </c>
      <c r="G25" s="4" t="str">
        <v>core_clk
</v>
      </c>
      <c r="H25" s="1" t="str">
        <v>pre_pb/mrr_if</v>
      </c>
      <c r="I25" s="4" t="str">
        <v>prepb_req_ref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1"/>
      <c r="B26" s="4" t="str">
        <v>input</v>
      </c>
      <c r="C26" s="4" t="str">
        <v>prepb_req_qos_ref</v>
      </c>
      <c r="D26" s="1" t="str">
        <v>RK_NUM*SC_NUM</v>
      </c>
      <c r="E26" s="1" t="str">
        <v>ARF</v>
      </c>
      <c r="F26" s="4" t="str">
        <v>prepb_req_qos_ref</v>
      </c>
      <c r="G26" s="4" t="str">
        <v>core_clk
</v>
      </c>
      <c r="H26" s="1" t="str">
        <v>pre_pb/mrr_if</v>
      </c>
      <c r="I26" s="4" t="str">
        <v>prepb_req_qos_ref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1"/>
      <c r="B27" s="4" t="str">
        <v>input</v>
      </c>
      <c r="C27" s="4" t="str">
        <v>prepb_req_bank_ref</v>
      </c>
      <c r="D27" s="4" t="str">
        <v>DDRC_SCRKBGBK_WIDTH*RK_NUM*SC_NUM</v>
      </c>
      <c r="E27" s="1" t="str">
        <v>ARF</v>
      </c>
      <c r="F27" s="4" t="str">
        <v>prepb_req_bank_ref</v>
      </c>
      <c r="G27" s="4"/>
      <c r="H27" s="1"/>
      <c r="I27" s="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1"/>
      <c r="B28" s="4" t="str">
        <v>output</v>
      </c>
      <c r="C28" s="4" t="str">
        <v>prepb_grant_ref</v>
      </c>
      <c r="D28" s="1" t="str">
        <v>RK_NUM*SC_NUM</v>
      </c>
      <c r="E28" s="1" t="str">
        <v>ARF</v>
      </c>
      <c r="F28" s="4" t="str">
        <v>prepb_grant_ref_ref</v>
      </c>
      <c r="G28" s="4" t="str">
        <v>core_clk
</v>
      </c>
      <c r="H28" s="1" t="str">
        <v>pre_pb/mrr_if</v>
      </c>
      <c r="I28" s="4" t="str">
        <v>prepb_grant_ref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1"/>
      <c r="B29" s="4" t="str">
        <v>input</v>
      </c>
      <c r="C29" s="4" t="str">
        <v>mrr_req_ref</v>
      </c>
      <c r="D29" s="1" t="str">
        <v>RK_NUM*SC_NUM</v>
      </c>
      <c r="E29" s="1" t="str">
        <v>ARF</v>
      </c>
      <c r="F29" s="4" t="str">
        <v>mrr_req_ref</v>
      </c>
      <c r="G29" s="4" t="str">
        <v>core_clk
</v>
      </c>
      <c r="H29" s="1" t="str">
        <v>pre_pb/mrr_if</v>
      </c>
      <c r="I29" s="4" t="str">
        <v>mrr_req_ref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1"/>
      <c r="B30" s="4" t="str">
        <v>input</v>
      </c>
      <c r="C30" s="4" t="str">
        <v>mrr_req_qos_ref</v>
      </c>
      <c r="D30" s="1" t="str">
        <v>RK_NUM*SC_NUM</v>
      </c>
      <c r="E30" s="1" t="str">
        <v>ARF</v>
      </c>
      <c r="F30" s="4" t="str">
        <v>mrr_req_qos_ref</v>
      </c>
      <c r="G30" s="4" t="str">
        <v>core_clk
</v>
      </c>
      <c r="H30" s="1" t="str">
        <v>pre_pb/mrr_if</v>
      </c>
      <c r="I30" s="4" t="str">
        <v>mrr_req_qos_ref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1"/>
      <c r="B31" s="4" t="str">
        <v>output</v>
      </c>
      <c r="C31" s="4" t="str">
        <v>mrr_grant_ref</v>
      </c>
      <c r="D31" s="1" t="str">
        <v>RK_NUM*SC_NUM</v>
      </c>
      <c r="E31" s="1" t="str">
        <v>ARF</v>
      </c>
      <c r="F31" s="4" t="str">
        <v>mrr_grant_ref</v>
      </c>
      <c r="G31" s="4" t="str">
        <v>core_clk
</v>
      </c>
      <c r="H31" s="1" t="str">
        <v>pre_pb/mrr_if</v>
      </c>
      <c r="I31" s="4" t="str">
        <v>mrr_grant_ref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1"/>
      <c r="B32" s="4" t="str">
        <v>input</v>
      </c>
      <c r="C32" s="4" t="str">
        <v>refdb_req_ref</v>
      </c>
      <c r="D32" s="1" t="str">
        <v>RK_NUM*SC_NUM</v>
      </c>
      <c r="E32" s="1" t="str">
        <v>ARF</v>
      </c>
      <c r="F32" s="4" t="str">
        <v>refdb_req_ref</v>
      </c>
      <c r="G32" s="4" t="str">
        <v>core_clk
</v>
      </c>
      <c r="H32" s="1" t="str">
        <v>refdb/refab/rfm_if</v>
      </c>
      <c r="I32" s="4" t="str">
        <v>refdb_req_ref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1"/>
      <c r="B33" s="4" t="str">
        <v>input</v>
      </c>
      <c r="C33" s="4" t="str">
        <v>refdb_req_qos_ref</v>
      </c>
      <c r="D33" s="1" t="str">
        <v>RK_NUM*SC_NUM</v>
      </c>
      <c r="E33" s="1" t="str">
        <v>ARF</v>
      </c>
      <c r="F33" s="4" t="str">
        <v>refdb_req_qos_ref</v>
      </c>
      <c r="G33" s="4" t="str">
        <v>core_clk
</v>
      </c>
      <c r="H33" s="1" t="str">
        <v>refdb/refab/rfm_if</v>
      </c>
      <c r="I33" s="4" t="str">
        <v>refdb_req_qos_ref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1"/>
      <c r="B34" s="4" t="str">
        <v>input</v>
      </c>
      <c r="C34" s="4" t="str">
        <v>refab_req_ref</v>
      </c>
      <c r="D34" s="1" t="str">
        <v>RK_NUM*SC_NUM</v>
      </c>
      <c r="E34" s="1" t="str">
        <v>ARF</v>
      </c>
      <c r="F34" s="4" t="str">
        <v>refab_req_ref</v>
      </c>
      <c r="G34" s="4" t="str">
        <v>core_clk
</v>
      </c>
      <c r="H34" s="1" t="str">
        <v>refdb/refab/rfm_if</v>
      </c>
      <c r="I34" s="4" t="str">
        <v>refab_req_ref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1"/>
      <c r="B35" s="4" t="str">
        <v>input</v>
      </c>
      <c r="C35" s="4" t="str">
        <v>refab_req_qos_ref</v>
      </c>
      <c r="D35" s="1" t="str">
        <v>RK_NUM*SC_NUM</v>
      </c>
      <c r="E35" s="1" t="str">
        <v>ARF</v>
      </c>
      <c r="F35" s="4" t="str">
        <v>refab_req_qos_ref</v>
      </c>
      <c r="G35" s="4" t="str">
        <v>core_clk
</v>
      </c>
      <c r="H35" s="1" t="str">
        <v>refdb/refab/rfm_if</v>
      </c>
      <c r="I35" s="4" t="str">
        <v>refab_req_qos_ref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1"/>
      <c r="B36" s="4" t="str">
        <v>input</v>
      </c>
      <c r="C36" s="4" t="str">
        <v>rfmpb_req_ref</v>
      </c>
      <c r="D36" s="1" t="str">
        <v>RK_NUM*SC_NUM</v>
      </c>
      <c r="E36" s="1" t="str">
        <v>ARF</v>
      </c>
      <c r="F36" s="4" t="str">
        <v>rfmpb_req_ref</v>
      </c>
      <c r="G36" s="4" t="str">
        <v>core_clk
</v>
      </c>
      <c r="H36" s="1" t="str">
        <v>refdb/refab/rfm_if</v>
      </c>
      <c r="I36" s="4" t="str">
        <v>rfmpb_req_ref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1"/>
      <c r="B37" s="4" t="str">
        <v>input</v>
      </c>
      <c r="C37" s="4" t="str">
        <v>rfmpb_req_qos_ref</v>
      </c>
      <c r="D37" s="1" t="str">
        <v>RK_NUM*SC_NUM</v>
      </c>
      <c r="E37" s="1" t="str">
        <v>ARF</v>
      </c>
      <c r="F37" s="4" t="str">
        <v>rfmpb_req_qos_ref</v>
      </c>
      <c r="G37" s="4" t="str">
        <v>core_clk
</v>
      </c>
      <c r="H37" s="1" t="str">
        <v>refdb/refab/rfm_if</v>
      </c>
      <c r="I37" s="4" t="str">
        <v>rfmpb_req_qos_ref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1"/>
      <c r="B38" s="4" t="str">
        <v>input</v>
      </c>
      <c r="C38" s="4" t="str">
        <v>rfmab_req_ref</v>
      </c>
      <c r="D38" s="1" t="str">
        <v>RK_NUM*SC_NUM</v>
      </c>
      <c r="E38" s="1" t="str">
        <v>ARF</v>
      </c>
      <c r="F38" s="4" t="str">
        <v>rfmab_req_ref</v>
      </c>
      <c r="G38" s="4" t="str">
        <v>core_clk
</v>
      </c>
      <c r="H38" s="1" t="str">
        <v>refdb/refab/rfm_if</v>
      </c>
      <c r="I38" s="4" t="str">
        <v>rfmab_req_ref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1"/>
      <c r="B39" s="4" t="str">
        <v>input</v>
      </c>
      <c r="C39" s="4" t="str">
        <v>rfmab_req_qos_ref</v>
      </c>
      <c r="D39" s="1" t="str">
        <v>RK_NUM*SC_NUM</v>
      </c>
      <c r="E39" s="1" t="str">
        <v>ARF</v>
      </c>
      <c r="F39" s="4" t="str">
        <v>rfmab_req_qos_ref</v>
      </c>
      <c r="G39" s="4" t="str">
        <v>core_clk
</v>
      </c>
      <c r="H39" s="1" t="str">
        <v>refdb/refab/rfm_if</v>
      </c>
      <c r="I39" s="4" t="str">
        <v>rfmab_req_qos_ref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1"/>
      <c r="B40" s="4" t="str">
        <v>output</v>
      </c>
      <c r="C40" s="4" t="str">
        <v>refdb_grant_ref</v>
      </c>
      <c r="D40" s="1" t="str">
        <v>RK_NUM*SC_NUM</v>
      </c>
      <c r="E40" s="1" t="str">
        <v>ARF</v>
      </c>
      <c r="F40" s="4" t="str">
        <v>refdb_grant_ref</v>
      </c>
      <c r="G40" s="4" t="str">
        <v>core_clk
</v>
      </c>
      <c r="H40" s="1" t="str">
        <v>refdb/refab/rfm_if</v>
      </c>
      <c r="I40" s="4" t="str">
        <v>refdb_grant_ref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1"/>
      <c r="B41" s="4" t="str">
        <v>output</v>
      </c>
      <c r="C41" s="4" t="str">
        <v>refab_grant_ref</v>
      </c>
      <c r="D41" s="1" t="str">
        <v>RK_NUM*SC_NUM</v>
      </c>
      <c r="E41" s="1" t="str">
        <v>ARF</v>
      </c>
      <c r="F41" s="4" t="str">
        <v>refab_grant_ref</v>
      </c>
      <c r="G41" s="4" t="str">
        <v>core_clk
</v>
      </c>
      <c r="H41" s="1" t="str">
        <v>refdb/refab/rfm_if</v>
      </c>
      <c r="I41" s="4" t="str">
        <v>refab_grant_ref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1"/>
      <c r="B42" s="4" t="str">
        <v>output</v>
      </c>
      <c r="C42" s="4" t="str">
        <v>rfmpb_grant_ref</v>
      </c>
      <c r="D42" s="1" t="str">
        <v>RK_NUM*SC_NUM</v>
      </c>
      <c r="E42" s="1" t="str">
        <v>ARF</v>
      </c>
      <c r="F42" s="4" t="str">
        <v>rfmpb_grant_ref</v>
      </c>
      <c r="G42" s="4" t="str">
        <v>core_clk
</v>
      </c>
      <c r="H42" s="1" t="str">
        <v>refdb/refab/rfm_if</v>
      </c>
      <c r="I42" s="4" t="str">
        <v>rfmsb_grant_ref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1"/>
      <c r="B43" s="4" t="str">
        <v>output</v>
      </c>
      <c r="C43" s="4" t="str">
        <v>rfmab_grant_ref</v>
      </c>
      <c r="D43" s="1" t="str">
        <v>RK_NUM*SC_NUM</v>
      </c>
      <c r="E43" s="1" t="str">
        <v>ARF</v>
      </c>
      <c r="F43" s="4" t="str">
        <v>rfmab_grant_ref</v>
      </c>
      <c r="G43" s="4" t="str">
        <v>core_clk
</v>
      </c>
      <c r="H43" s="1" t="str">
        <v>refdb/refab/rfm_if</v>
      </c>
      <c r="I43" s="4" t="str">
        <v>rfmab_grant_ref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1" t="str">
        <v>PIM</v>
      </c>
      <c r="B44" s="4" t="str">
        <v>input</v>
      </c>
      <c r="C44" s="4" t="str">
        <v>pre_all_req_pim</v>
      </c>
      <c r="D44" s="1" t="str">
        <v>[DDRC_SCRK_WIDTH-1:0]</v>
      </c>
      <c r="E44" s="4" t="str">
        <v>PIM</v>
      </c>
      <c r="F44" s="4" t="str">
        <v>pre_ab_req</v>
      </c>
      <c r="G44" s="4" t="str">
        <v>core_clk
</v>
      </c>
      <c r="H44" s="1" t="str">
        <v>pre_all_if_pim</v>
      </c>
      <c r="I44" s="4" t="str">
        <v>pre_ab(all)_req_pim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1"/>
      <c r="B45" s="4" t="str">
        <v>input</v>
      </c>
      <c r="C45" s="4" t="str">
        <v>pre_all_req_urgent_pim</v>
      </c>
      <c r="D45" s="1" t="str">
        <v>[DDRC_SCRK_WIDTH-1:0]</v>
      </c>
      <c r="E45" s="4" t="str">
        <v>PIM</v>
      </c>
      <c r="F45" s="4" t="str">
        <v>pre_ab_urgent</v>
      </c>
      <c r="G45" s="4" t="str">
        <v>core_clk
</v>
      </c>
      <c r="H45" s="1" t="str">
        <v>pre_all_if_pim</v>
      </c>
      <c r="I45" s="4" t="str">
        <v>pre_ab(all)_req_urgent(_qos)_pim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1"/>
      <c r="B46" s="4" t="str">
        <v>input</v>
      </c>
      <c r="C46" s="4" t="str">
        <v>pre_all_req_type_pim</v>
      </c>
      <c r="D46" s="4" t="str">
        <v>[3*DDRC_SCRK_WIDTH-1:0]</v>
      </c>
      <c r="E46" s="4" t="str">
        <v>PIM</v>
      </c>
      <c r="F46" s="4" t="str">
        <v>pre_ab_src</v>
      </c>
      <c r="G46" s="4" t="str">
        <v>core_clk
</v>
      </c>
      <c r="H46" s="1" t="str">
        <v>pre_all_if_pim</v>
      </c>
      <c r="I46" s="4" t="str">
        <v>pre_ab(all)_req_type_pim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1"/>
      <c r="B47" s="4" t="str">
        <v>output</v>
      </c>
      <c r="C47" s="4" t="str">
        <v>pre_all_grant_pim</v>
      </c>
      <c r="D47" s="1" t="str">
        <v>[DDRC_SCRK_WIDTH-1:0]</v>
      </c>
      <c r="E47" s="4" t="str">
        <v>PIM</v>
      </c>
      <c r="F47" s="4" t="str">
        <v>pre_ab_ack</v>
      </c>
      <c r="G47" s="4" t="str">
        <v>core_clk
</v>
      </c>
      <c r="H47" s="1" t="str">
        <v>pre_all_if_pim</v>
      </c>
      <c r="I47" s="4" t="str">
        <v>pre_ab(all)_ack(grant)_pim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1"/>
      <c r="B48" s="4" t="str">
        <v>input</v>
      </c>
      <c r="C48" s="4" t="str">
        <v>pim_req</v>
      </c>
      <c r="D48" s="1" t="str">
        <v>[DDRC_SCRK_WIDTH-1:0]</v>
      </c>
      <c r="E48" s="4" t="str">
        <v>PIM</v>
      </c>
      <c r="F48" s="4" t="str">
        <v>pim_req</v>
      </c>
      <c r="G48" s="4" t="str">
        <v>core_clk
</v>
      </c>
      <c r="H48" s="1" t="str">
        <v>pim_req_if_pim</v>
      </c>
      <c r="I48" s="4" t="str">
        <v>pim_req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1"/>
      <c r="B49" s="4" t="str">
        <v>input</v>
      </c>
      <c r="C49" s="4" t="str">
        <v>pim_type</v>
      </c>
      <c r="D49" s="1" t="str">
        <v>[7*DDRC_SCRK_WIDTH-1:0]</v>
      </c>
      <c r="E49" s="4" t="str">
        <v>PIM</v>
      </c>
      <c r="F49" s="4" t="str">
        <v>pim_src</v>
      </c>
      <c r="G49" s="4" t="str">
        <v>core_clk
</v>
      </c>
      <c r="H49" s="1" t="str">
        <v>pim_req_if_pim</v>
      </c>
      <c r="I49" s="4" t="str">
        <v>pim_type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1"/>
      <c r="B50" s="4" t="str">
        <v>input</v>
      </c>
      <c r="C50" s="4" t="str">
        <v>pim_urgent</v>
      </c>
      <c r="D50" s="1" t="str">
        <v>[DDRC_SCRK_WIDTH-1:0]</v>
      </c>
      <c r="E50" s="4" t="str">
        <v>PIM</v>
      </c>
      <c r="F50" s="4" t="str">
        <v>pim_urgent</v>
      </c>
      <c r="G50" s="4" t="str">
        <v>core_clk
</v>
      </c>
      <c r="H50" s="1" t="str">
        <v>pim_req_if_pim</v>
      </c>
      <c r="I50" s="4" t="str">
        <v>pim_urgent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1"/>
      <c r="B51" s="4" t="str">
        <v>output</v>
      </c>
      <c r="C51" s="4" t="str">
        <v>pim_grant</v>
      </c>
      <c r="D51" s="1" t="str">
        <v>[DDRC_SCRK_WIDTH-1:0]</v>
      </c>
      <c r="E51" s="4" t="str">
        <v>PIM</v>
      </c>
      <c r="F51" s="4" t="str">
        <v>pim_grant</v>
      </c>
      <c r="G51" s="4" t="str">
        <v>core_clk
</v>
      </c>
      <c r="H51" s="1" t="str">
        <v>pim_req_if_pim</v>
      </c>
      <c r="I51" s="4" t="str">
        <v>pim_grant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1"/>
      <c r="B52" s="4" t="str">
        <v>input</v>
      </c>
      <c r="C52" s="4" t="str">
        <v>bp_req_pim</v>
      </c>
      <c r="D52" s="4" t="str">
        <v>[DDRC_RK_WIDTH-1:0]</v>
      </c>
      <c r="E52" s="4" t="str">
        <v>PIM</v>
      </c>
      <c r="F52" s="4" t="str">
        <v>pim_bp</v>
      </c>
      <c r="G52" s="4" t="str">
        <v>core_clk
</v>
      </c>
      <c r="H52" s="1" t="str">
        <v>bp_if_pim</v>
      </c>
      <c r="I52" s="4" t="str">
        <v>backpressure_pim(bp_req_pim)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1" t="str">
        <v>LPC</v>
      </c>
      <c r="B53" s="4" t="str">
        <v>input</v>
      </c>
      <c r="C53" s="4" t="str">
        <v>lp_req_rank</v>
      </c>
      <c r="D53" s="4" t="str">
        <v>[DDRC_RK_WIDTH-1:0]</v>
      </c>
      <c r="E53" s="4" t="str">
        <v>LPC</v>
      </c>
      <c r="F53" s="4" t="str">
        <v>lp_req_rank</v>
      </c>
      <c r="G53" s="4" t="str">
        <v>core_clk
</v>
      </c>
      <c r="H53" s="1" t="str">
        <v>lp_req_if_lp</v>
      </c>
      <c r="I53" s="4" t="str">
        <v>Default,PDE,PDX,SRE,SRX,CTRLUPD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1"/>
      <c r="B54" s="4" t="str">
        <v>input</v>
      </c>
      <c r="C54" s="4" t="str">
        <v>lp_req_type_rank</v>
      </c>
      <c r="D54" s="4" t="str">
        <v>[4*DDRC_RK_WIDTH-1:0]</v>
      </c>
      <c r="E54" s="4" t="str">
        <v>LPC</v>
      </c>
      <c r="F54" s="4" t="str">
        <v>lp_req_type_rank</v>
      </c>
      <c r="G54" s="4" t="str">
        <v>core_clk
</v>
      </c>
      <c r="H54" s="1" t="str">
        <v>lp_req_if_lp</v>
      </c>
      <c r="I54" s="4" t="str">
        <v>Default,PDE,PDX,SRE,SRX,CTRLUPD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1"/>
      <c r="B55" s="4" t="str">
        <v>output</v>
      </c>
      <c r="C55" s="4" t="str">
        <v>lp_req_grant</v>
      </c>
      <c r="D55" s="4" t="str">
        <v>[DDRC_RK_WIDTH-1:0]</v>
      </c>
      <c r="E55" s="4" t="str">
        <v>LPC</v>
      </c>
      <c r="F55" s="4" t="str">
        <v>lp_req_grant</v>
      </c>
      <c r="G55" s="4" t="str">
        <v>core_clk
</v>
      </c>
      <c r="H55" s="1" t="str">
        <v>lp_req_if_lp</v>
      </c>
      <c r="I55" s="4" t="str">
        <v>Default,PDE,PDX,SRE,SRX,CTRLUPD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1"/>
      <c r="B56" s="4" t="str">
        <v>input</v>
      </c>
      <c r="C56" s="4" t="str">
        <v>pre_all_intent_lp</v>
      </c>
      <c r="D56" s="4" t="str">
        <v>[DDRC_RK_WIDTH-1:0]</v>
      </c>
      <c r="E56" s="4" t="str">
        <v>LPC</v>
      </c>
      <c r="F56" s="4" t="str">
        <v>pre_all_req</v>
      </c>
      <c r="G56" s="4" t="str">
        <v>core_clk
</v>
      </c>
      <c r="H56" s="1" t="str">
        <v>pre_all_if_lp</v>
      </c>
      <c r="I56" s="4" t="str">
        <v>pre_ab(all)_req(intent)_lp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1"/>
      <c r="B57" s="4" t="str">
        <v>input</v>
      </c>
      <c r="C57" s="4" t="str">
        <v>pre_all_intent_qos_lp</v>
      </c>
      <c r="D57" s="4" t="str">
        <v>[DDRC_RK_WIDTH-1:0]</v>
      </c>
      <c r="E57" s="4" t="str">
        <v>LPC</v>
      </c>
      <c r="F57" s="4" t="str">
        <v>pre_all_req_qos</v>
      </c>
      <c r="G57" s="4" t="str">
        <v>core_clk
</v>
      </c>
      <c r="H57" s="1" t="str">
        <v>pre_all_if_lp</v>
      </c>
      <c r="I57" s="4" t="str">
        <v>pre_ab(all)_req(intent)_(_qos)_lp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1"/>
      <c r="B58" s="4" t="str">
        <v>output</v>
      </c>
      <c r="C58" s="4" t="str">
        <v>pre_all_grant_lp</v>
      </c>
      <c r="D58" s="4" t="str">
        <v>[3*DDRC_RK_WIDTH-1:0]</v>
      </c>
      <c r="E58" s="4" t="str">
        <v>LPC</v>
      </c>
      <c r="F58" s="4" t="str">
        <v>pre_all_grant_lp</v>
      </c>
      <c r="G58" s="4" t="str">
        <v>core_clk
</v>
      </c>
      <c r="H58" s="1" t="str">
        <v>pre_all_if_lp</v>
      </c>
      <c r="I58" s="4" t="str">
        <v>pre_ab(all)_grant_lp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1"/>
      <c r="B59" s="4" t="str">
        <v>input</v>
      </c>
      <c r="C59" s="4" t="str">
        <v>bp_req_lp</v>
      </c>
      <c r="D59" s="1" t="str">
        <v>[DDRC_RK_WIDTH-1:0]</v>
      </c>
      <c r="E59" s="4" t="str">
        <v>LPC</v>
      </c>
      <c r="F59" s="4" t="str">
        <v>bp_req_lp</v>
      </c>
      <c r="G59" s="4" t="str">
        <v>core_clk
</v>
      </c>
      <c r="H59" s="1" t="str">
        <v>bp_if_lp</v>
      </c>
      <c r="I59" s="4" t="str">
        <v>bp_req_lp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1" t="str">
        <v>Bank Queue FE</v>
      </c>
      <c r="B60" s="4" t="str">
        <v>output</v>
      </c>
      <c r="C60" s="4" t="str" xml:space="preserve">
        <v>bp_req_fe </v>
      </c>
      <c r="D60" s="4" t="str">
        <v>[DDRC_RK_WIDTH-1:0]</v>
      </c>
      <c r="E60" s="4" t="str">
        <v>BQ_FE</v>
      </c>
      <c r="F60" s="4" t="str">
        <v>ref_bp_req</v>
      </c>
      <c r="G60" s="4" t="str">
        <v>core_clk
</v>
      </c>
      <c r="H60" s="1" t="str">
        <v>bp_if_fe</v>
      </c>
      <c r="I60" s="4" t="str" xml:space="preserve">
        <v>bp_req_fe 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1"/>
      <c r="B61" s="4" t="str">
        <v>output</v>
      </c>
      <c r="C61" s="4" t="str">
        <v>bp_type_fe</v>
      </c>
      <c r="D61" s="4" t="str">
        <v>[DDRC_RK_WIDTH-1:0]</v>
      </c>
      <c r="E61" s="4" t="str">
        <v>BQ_FE</v>
      </c>
      <c r="F61" s="4" t="str">
        <v>ref_bp_type</v>
      </c>
      <c r="G61" s="4" t="str">
        <v>core_clk
</v>
      </c>
      <c r="H61" s="1" t="str">
        <v>bp_if_fe</v>
      </c>
      <c r="I61" s="4" t="str">
        <v>bp_rnkbnk_fe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1"/>
      <c r="B62" s="4" t="str">
        <v>output</v>
      </c>
      <c r="C62" s="4" t="str">
        <v>bp_rnkbgbk_0_ref</v>
      </c>
      <c r="D62" s="4" t="str">
        <v>[DDRC_SCRKBGBK_WIDTH-1:0]</v>
      </c>
      <c r="E62" s="4" t="str">
        <v>BQ_FE</v>
      </c>
      <c r="F62" s="4" t="str">
        <v>ref_bp_bk0</v>
      </c>
      <c r="G62" s="4" t="str">
        <v>core_clk
</v>
      </c>
      <c r="H62" s="1" t="str">
        <v>bp_if_fe</v>
      </c>
      <c r="I62" s="4" t="str">
        <v>bp_rnkbgbk_0_ref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1"/>
      <c r="B63" s="4" t="str">
        <v>output</v>
      </c>
      <c r="C63" s="4" t="str">
        <v>bp_rnkbgbk_1_ref</v>
      </c>
      <c r="D63" s="4" t="str">
        <v>[DDRC_SCRKBGBK_WIDTH-1:0]</v>
      </c>
      <c r="E63" s="4" t="str">
        <v>BQ_FE</v>
      </c>
      <c r="F63" s="4" t="str">
        <v>ref_bp_bk1</v>
      </c>
      <c r="G63" s="4" t="str">
        <v>core_clk
</v>
      </c>
      <c r="H63" s="1" t="str">
        <v>bp_if_fe</v>
      </c>
      <c r="I63" s="4" t="str">
        <v>bp_rnkbgbk_0_ref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1" t="str">
        <v>Local Control</v>
      </c>
      <c r="B64" s="4" t="str">
        <v>output</v>
      </c>
      <c r="C64" s="4" t="str">
        <v>pre_vld</v>
      </c>
      <c r="D64" s="4">
        <v>1</v>
      </c>
      <c r="E64" s="1" t="str">
        <v>LC</v>
      </c>
      <c r="F64" s="4" t="str">
        <v>preab_vld</v>
      </c>
      <c r="G64" s="4" t="str">
        <v>core_clk
</v>
      </c>
      <c r="H64" s="1" t="str">
        <v>pre_all_if_lc</v>
      </c>
      <c r="I64" s="4" t="str">
        <v>pre_vld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1"/>
      <c r="B65" s="4" t="str">
        <v>output</v>
      </c>
      <c r="C65" s="4" t="str">
        <v>pre_ph</v>
      </c>
      <c r="D65" s="4">
        <v>2</v>
      </c>
      <c r="E65" s="1" t="str">
        <v>LC</v>
      </c>
      <c r="F65" s="4" t="str">
        <v>preab_vld_ph</v>
      </c>
      <c r="G65" s="4" t="str">
        <v>core_clk
</v>
      </c>
      <c r="H65" s="1" t="str">
        <v>pre_all_if_lc</v>
      </c>
      <c r="I65" s="4" t="str">
        <v>pre_ph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1"/>
      <c r="B66" s="4" t="str">
        <v>output</v>
      </c>
      <c r="C66" s="4" t="str">
        <v>prea_cmd_rk</v>
      </c>
      <c r="D66" s="4" t="str">
        <v>[DDRC_RK_WIDTH-1:0]</v>
      </c>
      <c r="E66" s="1" t="str">
        <v>LC</v>
      </c>
      <c r="F66" s="4" t="str">
        <v>prea_cmd_rk</v>
      </c>
      <c r="G66" s="4" t="str">
        <v>core_clk
</v>
      </c>
      <c r="H66" s="1" t="str">
        <v>pre_all_if_lc</v>
      </c>
      <c r="I66" s="4" t="str">
        <v>pre_addr
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1"/>
      <c r="B67" s="4" t="str">
        <v>output</v>
      </c>
      <c r="C67" s="4" t="str">
        <v>prea_cmd_sc</v>
      </c>
      <c r="D67" s="4">
        <v>1</v>
      </c>
      <c r="E67" s="1" t="str">
        <v>LC</v>
      </c>
      <c r="F67" s="4" t="str">
        <v>prea_cmd_sc</v>
      </c>
      <c r="G67" s="4" t="str">
        <v>core_clk
</v>
      </c>
      <c r="H67" s="1" t="str">
        <v>pre_all_if_lc</v>
      </c>
      <c r="I67" s="4" t="str">
        <v>pre_addr
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1"/>
      <c r="B68" s="4" t="str">
        <v>input</v>
      </c>
      <c r="C68" s="4" t="str">
        <v>pre_ab_allow
</v>
      </c>
      <c r="D68" s="4" t="str">
        <v>[2*2**DDRC_RK_WIDTH-1:0]</v>
      </c>
      <c r="E68" s="1" t="str">
        <v>LC</v>
      </c>
      <c r="F68" s="4" t="str">
        <v>preab_allow</v>
      </c>
      <c r="G68" s="4" t="str">
        <v>core_clk
</v>
      </c>
      <c r="H68" s="1" t="str">
        <v>pre_all_if_lc</v>
      </c>
      <c r="I68" s="4" t="str">
        <v>pre_ab_allow
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1"/>
      <c r="B69" s="4" t="str">
        <v>input</v>
      </c>
      <c r="C69" s="4" t="str">
        <v>pre_ab_allow_ph</v>
      </c>
      <c r="D69" s="4" t="str">
        <v>[2*2*2**DDRC_RK_WIDTH-1:0]</v>
      </c>
      <c r="E69" s="1" t="str">
        <v>LC</v>
      </c>
      <c r="F69" s="4" t="str">
        <v>preab_allow_ph</v>
      </c>
      <c r="G69" s="4" t="str">
        <v>core_clk
</v>
      </c>
      <c r="H69" s="1" t="str">
        <v>pre_all_if_lc</v>
      </c>
      <c r="I69" s="4" t="str">
        <v>pre_ab_allow_ph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1" t="str">
        <v>DFI IF</v>
      </c>
      <c r="B70" s="1" t="str">
        <v>output</v>
      </c>
      <c r="C70" s="1" t="str">
        <v>pa_cmd_vld</v>
      </c>
      <c r="D70" s="1">
        <v>1</v>
      </c>
      <c r="E70" s="1" t="str">
        <v>DFI_IF</v>
      </c>
      <c r="F70" s="4" t="str">
        <v>pa_dfi_cmd_vld</v>
      </c>
      <c r="G70" s="1" t="str">
        <v>core_clk</v>
      </c>
      <c r="H70" s="1" t="str">
        <v>pre_all_if_dfi</v>
      </c>
      <c r="I70" s="1" t="str">
        <v>pa_cmd_vld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1"/>
      <c r="B71" s="1" t="str">
        <v>output</v>
      </c>
      <c r="C71" s="1" t="str">
        <v>pa_dfi_cmd_type</v>
      </c>
      <c r="D71" s="1" t="str">
        <v>[DDRC_Cmd_width-1:0]</v>
      </c>
      <c r="E71" s="1" t="str">
        <v>DFI_IF</v>
      </c>
      <c r="F71" s="4" t="str">
        <v>pa_dfi_cmd_type</v>
      </c>
      <c r="G71" s="4" t="str">
        <v>core_clk
</v>
      </c>
      <c r="H71" s="1" t="str">
        <v>pre_all_if_dfi</v>
      </c>
      <c r="I71" s="1" t="str">
        <v>pa_cmd_pre_all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1"/>
      <c r="B72" s="1" t="str">
        <v>output</v>
      </c>
      <c r="C72" s="4" t="str">
        <v>pa_dfi_cmd_rank</v>
      </c>
      <c r="D72" s="4" t="str">
        <v>[DDRC_RK_WIDTH-1:0]</v>
      </c>
      <c r="E72" s="1" t="str">
        <v>DFI_IF</v>
      </c>
      <c r="F72" s="4" t="str">
        <v>pa_dfi_cmd_rank</v>
      </c>
      <c r="G72" s="4" t="str">
        <v>core_clk
</v>
      </c>
      <c r="H72" s="1" t="str">
        <v>pre_all_if_dfi</v>
      </c>
      <c r="I72" s="4" t="str">
        <v>pa_dfi_cmd_rank_pre_all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1"/>
      <c r="B73" s="1" t="str">
        <v>output</v>
      </c>
      <c r="C73" s="4" t="str">
        <v>pa_dfI_cmd_phase</v>
      </c>
      <c r="D73" s="4" t="str">
        <v>[DDRC_Phase width-1:0]</v>
      </c>
      <c r="E73" s="1" t="str">
        <v>DFI_IF</v>
      </c>
      <c r="F73" s="4" t="str">
        <v>pa_dfi_cmd_phase</v>
      </c>
      <c r="G73" s="4" t="str">
        <v>core_clk
</v>
      </c>
      <c r="H73" s="1" t="str">
        <v>pre_all_if_dfi</v>
      </c>
      <c r="I73" s="4" t="str">
        <v>pa_dfI_cmd_phase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1"/>
      <c r="B74" s="1" t="str">
        <v>output</v>
      </c>
      <c r="C74" s="4" t="str">
        <v>pa_dfi_cmd_sc</v>
      </c>
      <c r="D74" s="4">
        <v>1</v>
      </c>
      <c r="E74" s="1" t="str">
        <v>DFI_IF</v>
      </c>
      <c r="F74" s="4" t="str">
        <v>pa_dfi_cmd_sc</v>
      </c>
      <c r="G74" s="4" t="str">
        <v>core_clk
</v>
      </c>
      <c r="H74" s="1" t="str">
        <v>pre_all_if_dfi</v>
      </c>
      <c r="I74" s="4" t="str">
        <v>pa_dfi_cmd_sc_pre_all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1" t="str">
        <v>SOFT_REQ</v>
      </c>
      <c r="B75" s="1" t="str">
        <v>input</v>
      </c>
      <c r="C75" s="1" t="str">
        <v>soft_pre_all_req</v>
      </c>
      <c r="D75" s="1" t="str">
        <v>RK_NUM*SC_NUM</v>
      </c>
      <c r="E75" s="1" t="str">
        <v>SCI</v>
      </c>
      <c r="F75" s="1" t="str">
        <v>ddrc_clk</v>
      </c>
      <c r="G75" s="4" t="str">
        <v>core_clk
</v>
      </c>
      <c r="H75" s="1" t="str">
        <v>sci_if</v>
      </c>
      <c r="I75" s="1" t="str">
        <v>SOFT_REQ precharge all request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1"/>
      <c r="B76" s="1" t="str">
        <v>input</v>
      </c>
      <c r="C76" s="1" t="str">
        <v>soft_pre_all_qos</v>
      </c>
      <c r="D76" s="1" t="str">
        <v>RK_NUM*SC_NUM</v>
      </c>
      <c r="E76" s="1" t="str">
        <v>SCI</v>
      </c>
      <c r="F76" s="1" t="str">
        <v>ddrc_clk</v>
      </c>
      <c r="G76" s="4" t="str">
        <v>core_clk
</v>
      </c>
      <c r="H76" s="1" t="str">
        <v>sci_if</v>
      </c>
      <c r="I76" s="1" t="str">
        <v>SOFT_REQ precharge all high qos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1"/>
      <c r="B77" s="1" t="str">
        <v>output</v>
      </c>
      <c r="C77" s="1" t="str">
        <v>soft_pre_all_grant</v>
      </c>
      <c r="D77" s="1" t="str">
        <v>RK_NUM*SC_NUM</v>
      </c>
      <c r="E77" s="1" t="str">
        <v>SCI</v>
      </c>
      <c r="F77" s="1" t="str">
        <v>ddrc_clk</v>
      </c>
      <c r="G77" s="4" t="str">
        <v>core_clk
</v>
      </c>
      <c r="H77" s="1" t="str">
        <v>sci_if</v>
      </c>
      <c r="I77" s="1" t="str">
        <v>pa grant to precharge all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1"/>
      <c r="B78" s="1" t="str">
        <v>input</v>
      </c>
      <c r="C78" s="1" t="str">
        <v>soft_bp_all_req</v>
      </c>
      <c r="D78" s="1" t="str">
        <v>RK_NUM*SC_NUM</v>
      </c>
      <c r="E78" s="1" t="str">
        <v>SCI</v>
      </c>
      <c r="F78" s="1" t="str">
        <v>ddrc_clk</v>
      </c>
      <c r="G78" s="4" t="str">
        <v>core_clk
</v>
      </c>
      <c r="H78" s="1" t="str">
        <v>sci_if</v>
      </c>
      <c r="I78" s="1" t="str">
        <v>SOFT_REQ backpressure request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1"/>
      <c r="B79" s="1" t="str">
        <v>input</v>
      </c>
      <c r="C79" s="1" t="str">
        <v>soft_cmd_req</v>
      </c>
      <c r="D79" s="1">
        <v>1</v>
      </c>
      <c r="E79" s="1" t="str">
        <v>SCI</v>
      </c>
      <c r="F79" s="1" t="str">
        <v>ddrc_clk</v>
      </c>
      <c r="G79" s="4" t="str">
        <v>core_clk
</v>
      </c>
      <c r="H79" s="1" t="str">
        <v>sci_if</v>
      </c>
      <c r="I79" s="1" t="str">
        <v>cmd req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1"/>
      <c r="B80" s="1" t="str">
        <v>input</v>
      </c>
      <c r="C80" s="1" t="str">
        <v>soft_cmd_qos</v>
      </c>
      <c r="D80" s="1">
        <v>1</v>
      </c>
      <c r="E80" s="1" t="str">
        <v>SCI</v>
      </c>
      <c r="F80" s="1" t="str">
        <v>ddrc_clk</v>
      </c>
      <c r="G80" s="4" t="str">
        <v>core_clk
</v>
      </c>
      <c r="H80" s="1" t="str">
        <v>sci_if</v>
      </c>
      <c r="I80" s="1" t="str">
        <v>cmd hiqh qos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1"/>
      <c r="B81" s="1" t="str">
        <v>output</v>
      </c>
      <c r="C81" s="1" t="str">
        <v>soft_cmd_grant</v>
      </c>
      <c r="D81" s="1">
        <v>1</v>
      </c>
      <c r="E81" s="1" t="str">
        <v>SCI</v>
      </c>
      <c r="F81" s="1" t="str">
        <v>ddrc_clk</v>
      </c>
      <c r="G81" s="4" t="str">
        <v>core_clk
</v>
      </c>
      <c r="H81" s="1" t="str">
        <v>sci_if</v>
      </c>
      <c r="I81" s="1" t="str">
        <v>cmd grant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</sheetData>
  <mergeCells>
    <mergeCell ref="A44:A52"/>
    <mergeCell ref="A53:A59"/>
    <mergeCell ref="A60:A63"/>
    <mergeCell ref="A64:A69"/>
    <mergeCell ref="A70:A74"/>
    <mergeCell ref="A75:A81"/>
    <mergeCell ref="A2:A3"/>
    <mergeCell ref="A4:A17"/>
    <mergeCell ref="A18:A43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3"/>
    <col collapsed="false" customWidth="true" hidden="false" max="4" min="4" style="0" width="53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86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Clock Domain</v>
      </c>
      <c r="G1" s="5" t="str">
        <v>TAG</v>
      </c>
      <c r="H1" s="5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customHeight="true" ht="19" r="2">
      <c r="B2" s="4" t="str">
        <v>input</v>
      </c>
      <c r="C2" s="4" t="str">
        <v>ddrc_clk</v>
      </c>
      <c r="D2" s="4">
        <v>1</v>
      </c>
      <c r="E2" s="1" t="str">
        <v>CRG</v>
      </c>
      <c r="F2" s="4" t="str">
        <v>ddrc_clk</v>
      </c>
      <c r="G2" s="1"/>
      <c r="H2" s="4"/>
    </row>
    <row customHeight="true" ht="19" r="3">
      <c r="B3" s="4" t="str">
        <v>input</v>
      </c>
      <c r="C3" s="4" t="str">
        <v>ddrc_rst_n</v>
      </c>
      <c r="D3" s="4">
        <v>1</v>
      </c>
      <c r="E3" s="1" t="str">
        <v>CRG</v>
      </c>
      <c r="F3" s="4" t="str">
        <v>ddrc_rst_n</v>
      </c>
      <c r="G3" s="1"/>
      <c r="H3" s="4"/>
    </row>
    <row customHeight="true" ht="19" r="4">
      <c r="B4" s="4" t="str">
        <v>input</v>
      </c>
      <c r="C4" s="4" t="str">
        <v>prepb_req_ref</v>
      </c>
      <c r="D4" s="1" t="str">
        <v>RK_NUM*SC_NUM</v>
      </c>
      <c r="E4" s="1" t="str">
        <v>TOP</v>
      </c>
      <c r="F4" s="4" t="str">
        <v>core_clk
</v>
      </c>
      <c r="G4" s="1" t="str">
        <v>pre_pb/mrr_if</v>
      </c>
      <c r="H4" s="4" t="str">
        <v>prepb_req_ref</v>
      </c>
    </row>
    <row customHeight="true" ht="19" r="5">
      <c r="B5" s="4" t="str">
        <v>input</v>
      </c>
      <c r="C5" s="4" t="str">
        <v>prepb_req_qos_ref</v>
      </c>
      <c r="D5" s="1" t="str">
        <v>RK_NUM*SC_NUM</v>
      </c>
      <c r="E5" s="1" t="str">
        <v>TOP</v>
      </c>
      <c r="F5" s="4" t="str">
        <v>core_clk
</v>
      </c>
      <c r="G5" s="1" t="str">
        <v>pre_pb/mrr_if</v>
      </c>
      <c r="H5" s="4" t="str">
        <v>prepb_req_qos_ref</v>
      </c>
    </row>
    <row customHeight="true" ht="19" r="6">
      <c r="B6" s="4" t="str">
        <v>input</v>
      </c>
      <c r="C6" s="4" t="str">
        <v>prepb_req_bank_ref</v>
      </c>
      <c r="D6" s="4" t="str">
        <v>DDRC_SCRKBGBK_WIDTH*RK_NUM*SC_NUM</v>
      </c>
      <c r="E6" s="1"/>
      <c r="F6" s="4"/>
      <c r="G6" s="1"/>
      <c r="H6" s="4"/>
    </row>
    <row customHeight="true" ht="19" r="7">
      <c r="B7" s="4" t="str">
        <v>output</v>
      </c>
      <c r="C7" s="4" t="str">
        <v>prepb_grant_ref</v>
      </c>
      <c r="D7" s="1" t="str">
        <v>RK_NUM*SC_NUM</v>
      </c>
      <c r="E7" s="1" t="str">
        <v>TOP</v>
      </c>
      <c r="F7" s="4" t="str">
        <v>core_clk
</v>
      </c>
      <c r="G7" s="1" t="str">
        <v>pre_pb/mrr_if</v>
      </c>
      <c r="H7" s="4" t="str">
        <v>prepb_grant_ref</v>
      </c>
    </row>
    <row r="8">
      <c r="B8" s="4" t="str">
        <v>input</v>
      </c>
      <c r="C8" s="4" t="str">
        <v>mrr_req_ref</v>
      </c>
      <c r="D8" s="1" t="str">
        <v>RK_NUM*SC_NUM</v>
      </c>
      <c r="E8" s="1" t="str">
        <v>TOP</v>
      </c>
      <c r="F8" s="4" t="str">
        <v>core_clk
</v>
      </c>
      <c r="G8" s="1" t="str">
        <v>pre_pb/mrr_if</v>
      </c>
      <c r="H8" s="4" t="str">
        <v>mrr_req_ref</v>
      </c>
    </row>
    <row r="9">
      <c r="B9" s="4" t="str">
        <v>input</v>
      </c>
      <c r="C9" s="4" t="str">
        <v>mrr_req_qos_ref</v>
      </c>
      <c r="D9" s="1" t="str">
        <v>RK_NUM*SC_NUM</v>
      </c>
      <c r="E9" s="1" t="str">
        <v>TOP</v>
      </c>
      <c r="F9" s="4" t="str">
        <v>core_clk
</v>
      </c>
      <c r="G9" s="1" t="str">
        <v>pre_pb/mrr_if</v>
      </c>
      <c r="H9" s="4" t="str">
        <v>mrr_req_qos_ref</v>
      </c>
    </row>
    <row r="10">
      <c r="B10" s="4" t="str">
        <v>output</v>
      </c>
      <c r="C10" s="4" t="str">
        <v>mrr_grant_ref</v>
      </c>
      <c r="D10" s="1" t="str">
        <v>RK_NUM*SC_NUM</v>
      </c>
      <c r="E10" s="1" t="str">
        <v>TOP</v>
      </c>
      <c r="F10" s="4" t="str">
        <v>core_clk
</v>
      </c>
      <c r="G10" s="1" t="str">
        <v>pre_pb/mrr_if</v>
      </c>
      <c r="H10" s="4" t="str">
        <v>mrr_grant_ref</v>
      </c>
    </row>
    <row customHeight="true" ht="19" r="11">
      <c r="B11" s="4" t="str">
        <v>input</v>
      </c>
      <c r="C11" s="4" t="str">
        <v>refdb_req_ref</v>
      </c>
      <c r="D11" s="1" t="str">
        <v>RK_NUM*SC_NUM</v>
      </c>
      <c r="E11" s="1" t="str">
        <v>TOP</v>
      </c>
      <c r="F11" s="4" t="str">
        <v>core_clk
</v>
      </c>
      <c r="G11" s="1" t="str">
        <v>refdb/refab/rfm_if</v>
      </c>
      <c r="H11" s="4" t="str">
        <v>refdb_req_ref</v>
      </c>
    </row>
    <row customHeight="true" ht="19" r="12">
      <c r="B12" s="4" t="str">
        <v>input</v>
      </c>
      <c r="C12" s="4" t="str">
        <v>refdb_req_qos_ref</v>
      </c>
      <c r="D12" s="1" t="str">
        <v>RK_NUM*SC_NUM</v>
      </c>
      <c r="E12" s="1" t="str">
        <v>TOP</v>
      </c>
      <c r="F12" s="4" t="str">
        <v>core_clk
</v>
      </c>
      <c r="G12" s="1" t="str">
        <v>refdb/refab/rfm_if</v>
      </c>
      <c r="H12" s="4" t="str">
        <v>refdb_req_qos_ref</v>
      </c>
    </row>
    <row customHeight="true" ht="19" r="13">
      <c r="B13" s="4" t="str">
        <v>input</v>
      </c>
      <c r="C13" s="4" t="str">
        <v>refab_req_ref</v>
      </c>
      <c r="D13" s="1" t="str">
        <v>RK_NUM*SC_NUM</v>
      </c>
      <c r="E13" s="1" t="str">
        <v>TOP</v>
      </c>
      <c r="F13" s="4" t="str">
        <v>core_clk
</v>
      </c>
      <c r="G13" s="1" t="str">
        <v>refdb/refab/rfm_if</v>
      </c>
      <c r="H13" s="4" t="str">
        <v>refab_req_ref</v>
      </c>
    </row>
    <row customHeight="true" ht="19" r="14">
      <c r="B14" s="4" t="str">
        <v>input</v>
      </c>
      <c r="C14" s="4" t="str">
        <v>refab_req_qos_ref</v>
      </c>
      <c r="D14" s="1" t="str">
        <v>RK_NUM*SC_NUM</v>
      </c>
      <c r="E14" s="1" t="str">
        <v>TOP</v>
      </c>
      <c r="F14" s="4" t="str">
        <v>core_clk
</v>
      </c>
      <c r="G14" s="1" t="str">
        <v>refdb/refab/rfm_if</v>
      </c>
      <c r="H14" s="4" t="str">
        <v>refab_req_qos_ref</v>
      </c>
    </row>
    <row customHeight="true" ht="19" r="15">
      <c r="B15" s="4" t="str">
        <v>input</v>
      </c>
      <c r="C15" s="4" t="str">
        <v>rfmpb_req_ref</v>
      </c>
      <c r="D15" s="1" t="str">
        <v>RK_NUM*SC_NUM</v>
      </c>
      <c r="E15" s="1" t="str">
        <v>TOP</v>
      </c>
      <c r="F15" s="4" t="str">
        <v>core_clk
</v>
      </c>
      <c r="G15" s="1" t="str">
        <v>refdb/refab/rfm_if</v>
      </c>
      <c r="H15" s="4" t="str">
        <v>rfmpb_req_ref</v>
      </c>
    </row>
    <row customHeight="true" ht="19" r="16">
      <c r="B16" s="4" t="str">
        <v>input</v>
      </c>
      <c r="C16" s="4" t="str">
        <v>rfmpb_req_qos_ref</v>
      </c>
      <c r="D16" s="1" t="str">
        <v>RK_NUM*SC_NUM</v>
      </c>
      <c r="E16" s="1" t="str">
        <v>TOP</v>
      </c>
      <c r="F16" s="4" t="str">
        <v>core_clk
</v>
      </c>
      <c r="G16" s="1" t="str">
        <v>refdb/refab/rfm_if</v>
      </c>
      <c r="H16" s="4" t="str">
        <v>rfmpb_req_qos_ref</v>
      </c>
    </row>
    <row customHeight="true" ht="19" r="17">
      <c r="B17" s="4" t="str">
        <v>input</v>
      </c>
      <c r="C17" s="4" t="str">
        <v>rfmab_req_ref</v>
      </c>
      <c r="D17" s="1" t="str">
        <v>RK_NUM*SC_NUM</v>
      </c>
      <c r="E17" s="1" t="str">
        <v>TOP</v>
      </c>
      <c r="F17" s="4" t="str">
        <v>core_clk
</v>
      </c>
      <c r="G17" s="1" t="str">
        <v>refdb/refab/rfm_if</v>
      </c>
      <c r="H17" s="4" t="str">
        <v>rfmab_req_ref</v>
      </c>
    </row>
    <row customHeight="true" ht="19" r="18">
      <c r="B18" s="4" t="str">
        <v>input</v>
      </c>
      <c r="C18" s="4" t="str">
        <v>rfmab_req_qos_ref</v>
      </c>
      <c r="D18" s="1" t="str">
        <v>RK_NUM*SC_NUM</v>
      </c>
      <c r="E18" s="1" t="str">
        <v>TOP</v>
      </c>
      <c r="F18" s="4" t="str">
        <v>core_clk
</v>
      </c>
      <c r="G18" s="1" t="str">
        <v>refdb/refab/rfm_if</v>
      </c>
      <c r="H18" s="4" t="str">
        <v>rfmab_req_qos_ref</v>
      </c>
    </row>
    <row customHeight="true" ht="19" r="19">
      <c r="B19" s="4" t="str">
        <v>output</v>
      </c>
      <c r="C19" s="4" t="str">
        <v>refdb_grant_ref</v>
      </c>
      <c r="D19" s="1" t="str">
        <v>RK_NUM*SC_NUM</v>
      </c>
      <c r="E19" s="1" t="str">
        <v>TOP</v>
      </c>
      <c r="F19" s="4" t="str">
        <v>core_clk
</v>
      </c>
      <c r="G19" s="1" t="str">
        <v>refdb/refab/rfm_if</v>
      </c>
      <c r="H19" s="4" t="str">
        <v>refdb_grant_ref</v>
      </c>
    </row>
    <row customHeight="true" ht="19" r="20">
      <c r="B20" s="4" t="str">
        <v>output</v>
      </c>
      <c r="C20" s="4" t="str">
        <v>refab_grant_ref</v>
      </c>
      <c r="D20" s="1" t="str">
        <v>RK_NUM*SC_NUM</v>
      </c>
      <c r="E20" s="1" t="str">
        <v>TOP</v>
      </c>
      <c r="F20" s="4" t="str">
        <v>core_clk
</v>
      </c>
      <c r="G20" s="1" t="str">
        <v>refdb/refab/rfm_if</v>
      </c>
      <c r="H20" s="4" t="str">
        <v>refab_grant_ref</v>
      </c>
    </row>
    <row customHeight="true" ht="19" r="21">
      <c r="B21" s="4" t="str">
        <v>output</v>
      </c>
      <c r="C21" s="4" t="str">
        <v>rfmpb_grant_ref</v>
      </c>
      <c r="D21" s="1" t="str">
        <v>RK_NUM*SC_NUM</v>
      </c>
      <c r="E21" s="1" t="str">
        <v>TOP</v>
      </c>
      <c r="F21" s="4" t="str">
        <v>core_clk
</v>
      </c>
      <c r="G21" s="1" t="str">
        <v>refdb/refab/rfm_if</v>
      </c>
      <c r="H21" s="4" t="str">
        <v>rfmsb_grant_ref</v>
      </c>
    </row>
    <row customHeight="true" ht="19" r="22">
      <c r="B22" s="4" t="str">
        <v>output</v>
      </c>
      <c r="C22" s="4" t="str">
        <v>rfmab_grant_ref</v>
      </c>
      <c r="D22" s="1" t="str">
        <v>RK_NUM*SC_NUM</v>
      </c>
      <c r="E22" s="1" t="str">
        <v>TOP</v>
      </c>
      <c r="F22" s="4" t="str">
        <v>core_clk
</v>
      </c>
      <c r="G22" s="1" t="str">
        <v>refdb/refab/rfm_if</v>
      </c>
      <c r="H22" s="4" t="str">
        <v>rfmab_grant_ref</v>
      </c>
    </row>
    <row r="23">
      <c r="B23" s="4" t="str">
        <v>input</v>
      </c>
      <c r="C23" s="4" t="str">
        <v>pim_req</v>
      </c>
      <c r="D23" s="1" t="str">
        <v>[DDRC_SCRK_WIDTH-1:0]</v>
      </c>
      <c r="E23" s="1" t="str">
        <v>TOP</v>
      </c>
      <c r="F23" s="4" t="str">
        <v>core_clk
</v>
      </c>
      <c r="G23" s="1" t="str">
        <v>pim_req_if_pim</v>
      </c>
      <c r="H23" s="4" t="str">
        <v>pim_req</v>
      </c>
    </row>
    <row r="24">
      <c r="B24" s="4" t="str">
        <v>input</v>
      </c>
      <c r="C24" s="4" t="str">
        <v>pim_type</v>
      </c>
      <c r="D24" s="1" t="str">
        <v>[7*DDRC_SCRK_WIDTH-1:0]</v>
      </c>
      <c r="E24" s="1" t="str">
        <v>TOP</v>
      </c>
      <c r="F24" s="4" t="str">
        <v>core_clk
</v>
      </c>
      <c r="G24" s="1" t="str">
        <v>pim_req_if_pim</v>
      </c>
      <c r="H24" s="4" t="str">
        <v>pim_type</v>
      </c>
    </row>
    <row r="25">
      <c r="B25" s="4" t="str">
        <v>input</v>
      </c>
      <c r="C25" s="4" t="str">
        <v>pim_urgent</v>
      </c>
      <c r="D25" s="1" t="str">
        <v>[DDRC_SCRK_WIDTH-1:0]</v>
      </c>
      <c r="E25" s="1" t="str">
        <v>TOP</v>
      </c>
      <c r="F25" s="4" t="str">
        <v>core_clk
</v>
      </c>
      <c r="G25" s="1" t="str">
        <v>pim_req_if_pim</v>
      </c>
      <c r="H25" s="4" t="str">
        <v>pim_grant</v>
      </c>
    </row>
    <row r="26">
      <c r="B26" s="4" t="str">
        <v>output</v>
      </c>
      <c r="C26" s="4" t="str">
        <v>pim_grant</v>
      </c>
      <c r="D26" s="1" t="str">
        <v>[DDRC_SCRK_WIDTH-1:0]</v>
      </c>
      <c r="E26" s="1" t="str">
        <v>TOP</v>
      </c>
      <c r="F26" s="4" t="str">
        <v>core_clk
</v>
      </c>
      <c r="G26" s="1" t="str">
        <v>pim_req_if_pim</v>
      </c>
      <c r="H26" s="4" t="str">
        <v>pim_urgent</v>
      </c>
    </row>
    <row r="27">
      <c r="B27" s="4" t="str">
        <v>input</v>
      </c>
      <c r="C27" s="4" t="str">
        <v>lp_req_rank</v>
      </c>
      <c r="D27" s="4" t="str">
        <v>[DDRC_RK_WIDTH-1:0]</v>
      </c>
      <c r="E27" s="1" t="str">
        <v>TOP</v>
      </c>
      <c r="F27" s="4" t="str">
        <v>core_clk
</v>
      </c>
      <c r="G27" s="1" t="str">
        <v>lp_req_if_lp</v>
      </c>
      <c r="H27" s="4" t="str">
        <v>Default,PDE,PDX,SRE,SRX,CTRLUPD</v>
      </c>
    </row>
    <row r="28">
      <c r="B28" s="4" t="str">
        <v>input</v>
      </c>
      <c r="C28" s="4" t="str">
        <v>lp_req_type_rank</v>
      </c>
      <c r="D28" s="4" t="str">
        <v>[4*DDRC_RK_WIDTH-1:0]</v>
      </c>
      <c r="E28" s="1" t="str">
        <v>TOP</v>
      </c>
      <c r="F28" s="4" t="str">
        <v>core_clk
</v>
      </c>
      <c r="G28" s="1" t="str">
        <v>lp_req_if_lp</v>
      </c>
      <c r="H28" s="4" t="str">
        <v>lp_req_typerank</v>
      </c>
    </row>
    <row r="29">
      <c r="B29" s="4" t="str">
        <v>output</v>
      </c>
      <c r="C29" s="4" t="str">
        <v>lp_req_grant</v>
      </c>
      <c r="D29" s="4" t="str">
        <v>[DDRC_RK_WIDTH-1:0]</v>
      </c>
      <c r="E29" s="1" t="str">
        <v>TOP</v>
      </c>
      <c r="F29" s="4" t="str">
        <v>core_clk
</v>
      </c>
      <c r="G29" s="1" t="str">
        <v>lp_req_if_lp</v>
      </c>
      <c r="H29" s="4" t="str">
        <v>Default,PDE,PDX,SRE,SRX,CTRLUPD(Load is connected, Grant will be connected if timing could not meet)</v>
      </c>
    </row>
    <row r="30">
      <c r="B30" s="1" t="str">
        <v>input</v>
      </c>
      <c r="C30" s="1" t="str">
        <v>soft_cmd_req</v>
      </c>
      <c r="D30" s="1">
        <v>1</v>
      </c>
      <c r="E30" s="1" t="str">
        <v>TOP</v>
      </c>
      <c r="F30" s="4" t="str">
        <v>core_clk
</v>
      </c>
      <c r="G30" s="1" t="str">
        <v>sci_if</v>
      </c>
      <c r="H30" s="4" t="str">
        <v>soft_req</v>
      </c>
    </row>
    <row r="31">
      <c r="B31" s="1" t="str">
        <v>input</v>
      </c>
      <c r="C31" s="1" t="str">
        <v>soft_cmd_qos</v>
      </c>
      <c r="D31" s="1">
        <v>1</v>
      </c>
      <c r="E31" s="1" t="str">
        <v>TOP</v>
      </c>
      <c r="F31" s="4" t="str">
        <v>core_clk
</v>
      </c>
      <c r="G31" s="1" t="str">
        <v>sci_if</v>
      </c>
      <c r="H31" s="4" t="str">
        <v>soft_grant/load(Load is connected, Grant will be connected if timing could not meet)</v>
      </c>
    </row>
    <row customHeight="true" ht="19" r="32">
      <c r="B32" s="1" t="str">
        <v>output</v>
      </c>
      <c r="C32" s="1" t="str">
        <v>soft_cmd_grant</v>
      </c>
      <c r="D32" s="1">
        <v>1</v>
      </c>
      <c r="E32" s="1"/>
      <c r="F32" s="4"/>
      <c r="G32" s="1"/>
      <c r="H32" s="4"/>
    </row>
    <row customHeight="true" ht="19" r="33">
      <c r="B33" s="4" t="str">
        <v>output</v>
      </c>
      <c r="C33" s="4" t="str">
        <v>mrr_zq_high_req</v>
      </c>
      <c r="D33" s="4">
        <v>1</v>
      </c>
      <c r="E33" s="1" t="str">
        <v>Command_Arbiter</v>
      </c>
      <c r="F33" s="4" t="str">
        <v>core_clk
</v>
      </c>
      <c r="G33" s="1" t="str">
        <v>func_if</v>
      </c>
      <c r="H33" s="4"/>
    </row>
    <row customHeight="true" ht="19" r="34">
      <c r="B34" s="4" t="str">
        <v>output</v>
      </c>
      <c r="C34" s="4" t="str">
        <v>mrr_zq_low_req</v>
      </c>
      <c r="D34" s="4">
        <v>1</v>
      </c>
      <c r="E34" s="1" t="str">
        <v>Command_Arbiter</v>
      </c>
      <c r="F34" s="4" t="str">
        <v>core_clk
</v>
      </c>
      <c r="G34" s="1" t="str">
        <v>func_if</v>
      </c>
      <c r="H34" s="4"/>
    </row>
    <row customHeight="true" ht="19" r="35">
      <c r="B35" s="4" t="str">
        <v>output</v>
      </c>
      <c r="C35" s="4" t="str">
        <v>mrr_zq_high_load</v>
      </c>
      <c r="D35" s="4" t="str">
        <v>[RK_NUM*SC_NUM-1:0]</v>
      </c>
      <c r="E35" s="1" t="str">
        <v>Command_Arbiter</v>
      </c>
      <c r="F35" s="4" t="str">
        <v>core_clk
</v>
      </c>
      <c r="G35" s="1" t="str">
        <v>func_if</v>
      </c>
      <c r="H35" s="4"/>
    </row>
    <row customHeight="true" ht="19" r="36">
      <c r="B36" s="4" t="str">
        <v>output</v>
      </c>
      <c r="C36" s="4" t="str">
        <v>mrr_zq_low_load</v>
      </c>
      <c r="D36" s="4" t="str">
        <v>[RK_NUM*SC_NUM-1:0]</v>
      </c>
      <c r="E36" s="1" t="str">
        <v>Command_Arbiter</v>
      </c>
      <c r="F36" s="4" t="str">
        <v>core_clk
</v>
      </c>
      <c r="G36" s="1" t="str">
        <v>func_if</v>
      </c>
      <c r="H36" s="4"/>
    </row>
    <row r="37">
      <c r="B37" s="4" t="str">
        <v>output</v>
      </c>
      <c r="C37" s="6" t="str">
        <v>zq_load_h</v>
      </c>
      <c r="D37" s="6">
        <v>1</v>
      </c>
      <c r="E37" s="1" t="str">
        <v>Command_Arbiter</v>
      </c>
      <c r="F37" s="4" t="str">
        <v>core_clk
</v>
      </c>
      <c r="G37" s="1" t="str">
        <v>func_if</v>
      </c>
    </row>
    <row r="38">
      <c r="B38" s="4" t="str">
        <v>output</v>
      </c>
      <c r="C38" s="6" t="str">
        <v>mrrx_load_h</v>
      </c>
      <c r="D38" s="6">
        <v>1</v>
      </c>
      <c r="E38" s="1" t="str">
        <v>Command_Arbiter</v>
      </c>
      <c r="F38" s="4" t="str">
        <v>core_clk
</v>
      </c>
      <c r="G38" s="1" t="str">
        <v>func_if</v>
      </c>
    </row>
    <row r="39">
      <c r="B39" s="4" t="str">
        <v>output</v>
      </c>
      <c r="C39" s="6" t="str">
        <v>mrr4_load_h</v>
      </c>
      <c r="D39" s="6">
        <v>1</v>
      </c>
      <c r="E39" s="1" t="str">
        <v>Command_Arbiter</v>
      </c>
      <c r="F39" s="4" t="str">
        <v>core_clk
</v>
      </c>
      <c r="G39" s="1" t="str">
        <v>func_if</v>
      </c>
    </row>
    <row r="40">
      <c r="B40" s="4" t="str">
        <v>output</v>
      </c>
      <c r="C40" s="6" t="str">
        <v>pdx_lp_load_rank</v>
      </c>
      <c r="D40" s="6">
        <v>1</v>
      </c>
      <c r="E40" s="1" t="str">
        <v>Command_Arbiter</v>
      </c>
      <c r="F40" s="4" t="str">
        <v>core_clk
</v>
      </c>
      <c r="G40" s="1" t="str">
        <v>func_if</v>
      </c>
    </row>
    <row r="41">
      <c r="B41" s="4" t="str">
        <v>output</v>
      </c>
      <c r="C41" s="6" t="str">
        <v>cas_off_lp_load_rank</v>
      </c>
      <c r="D41" s="6">
        <v>1</v>
      </c>
      <c r="E41" s="1" t="str">
        <v>Command_Arbiter</v>
      </c>
      <c r="F41" s="4" t="str">
        <v>core_clk
</v>
      </c>
      <c r="G41" s="1" t="str">
        <v>func_if</v>
      </c>
    </row>
    <row r="42">
      <c r="B42" s="4" t="str">
        <v>output</v>
      </c>
      <c r="C42" s="6" t="str">
        <v>refab_load_ref_h</v>
      </c>
      <c r="D42" s="6">
        <v>1</v>
      </c>
      <c r="E42" s="1" t="str">
        <v>Command_Arbiter</v>
      </c>
      <c r="F42" s="4" t="str">
        <v>core_clk
</v>
      </c>
      <c r="G42" s="1" t="str">
        <v>func_if</v>
      </c>
    </row>
    <row r="43">
      <c r="B43" s="4" t="str">
        <v>output</v>
      </c>
      <c r="C43" s="6" t="str">
        <v>refdb_load_ref_h</v>
      </c>
      <c r="D43" s="6">
        <v>1</v>
      </c>
      <c r="E43" s="1" t="str">
        <v>Command_Arbiter</v>
      </c>
      <c r="F43" s="4" t="str">
        <v>core_clk
</v>
      </c>
      <c r="G43" s="1" t="str">
        <v>func_if</v>
      </c>
    </row>
    <row r="44">
      <c r="B44" s="4" t="str">
        <v>output</v>
      </c>
      <c r="C44" s="6" t="str">
        <v>rfmab_load_ref_h</v>
      </c>
      <c r="D44" s="6">
        <v>1</v>
      </c>
      <c r="E44" s="1" t="str">
        <v>Command_Arbiter</v>
      </c>
      <c r="F44" s="4" t="str">
        <v>core_clk
</v>
      </c>
      <c r="G44" s="1" t="str">
        <v>func_if</v>
      </c>
    </row>
    <row r="45">
      <c r="B45" s="4" t="str">
        <v>output</v>
      </c>
      <c r="C45" s="6" t="str">
        <v>rfmpb_load_ref_h</v>
      </c>
      <c r="D45" s="6">
        <v>1</v>
      </c>
      <c r="E45" s="1" t="str">
        <v>Command_Arbiter</v>
      </c>
      <c r="F45" s="4" t="str">
        <v>core_clk
</v>
      </c>
      <c r="G45" s="1" t="str">
        <v>func_if</v>
      </c>
    </row>
    <row r="46">
      <c r="B46" s="4" t="str">
        <v>Input</v>
      </c>
      <c r="C46" s="6" t="str">
        <v>actpre_pa_cmd_vld</v>
      </c>
      <c r="D46" s="6">
        <v>1</v>
      </c>
      <c r="E46" s="1" t="str">
        <v>TOP</v>
      </c>
      <c r="F46" s="4" t="str">
        <v>core_clk
</v>
      </c>
      <c r="G46" s="1" t="str">
        <v>func_if</v>
      </c>
    </row>
    <row r="47">
      <c r="B47" s="4" t="str">
        <v>Input</v>
      </c>
      <c r="C47" s="6" t="str">
        <v>actpre_pa_cmd_type</v>
      </c>
      <c r="D47" s="6">
        <v>1</v>
      </c>
      <c r="E47" s="1" t="str">
        <v>TOP</v>
      </c>
      <c r="F47" s="4" t="str">
        <v>core_clk
</v>
      </c>
      <c r="G47" s="1" t="str">
        <v>func_if</v>
      </c>
    </row>
    <row r="48">
      <c r="B48" s="4" t="str">
        <v>Input</v>
      </c>
      <c r="C48" s="6" t="str">
        <v>actpre_pa_cmd_hqos</v>
      </c>
      <c r="D48" s="6">
        <v>1</v>
      </c>
      <c r="E48" s="1" t="str">
        <v>TOP</v>
      </c>
      <c r="F48" s="4" t="str">
        <v>core_clk
</v>
      </c>
      <c r="G48" s="1" t="str">
        <v>func_if</v>
      </c>
    </row>
    <row customHeight="true" ht="19" r="49">
      <c r="B49" s="4" t="str">
        <v>output</v>
      </c>
      <c r="C49" s="4" t="str">
        <v>func_req</v>
      </c>
      <c r="D49" s="4">
        <v>1</v>
      </c>
      <c r="E49" s="1" t="str">
        <v>Command_Arbiter</v>
      </c>
      <c r="F49" s="4" t="str">
        <v>core_clk
</v>
      </c>
      <c r="G49" s="1" t="str">
        <v>func_if</v>
      </c>
      <c r="H49" s="4" t="str">
        <v>func_req</v>
      </c>
    </row>
    <row customHeight="true" ht="19" r="50">
      <c r="B50" s="4" t="str">
        <v>output</v>
      </c>
      <c r="C50" s="4" t="str">
        <v>func_hqos</v>
      </c>
      <c r="D50" s="4">
        <v>1</v>
      </c>
      <c r="E50" s="1" t="str">
        <v>Command_Arbiter</v>
      </c>
      <c r="F50" s="4" t="str">
        <v>core_clk
</v>
      </c>
      <c r="G50" s="1" t="str">
        <v>func_if</v>
      </c>
      <c r="H50" s="4"/>
    </row>
    <row customHeight="true" ht="19" r="51">
      <c r="B51" s="4" t="str">
        <v>input</v>
      </c>
      <c r="C51" s="4" t="str">
        <v>func_load</v>
      </c>
      <c r="D51" s="4">
        <v>1</v>
      </c>
      <c r="E51" s="1" t="str">
        <v>Command_Arbiter</v>
      </c>
      <c r="F51" s="4" t="str">
        <v>core_clk
</v>
      </c>
      <c r="G51" s="1" t="str">
        <v>func_if</v>
      </c>
      <c r="H51" s="4" t="str">
        <v>func_load</v>
      </c>
    </row>
    <row r="52">
      <c r="B52" s="6"/>
      <c r="C52" s="6"/>
      <c r="D52" s="6"/>
      <c r="E52" s="6"/>
      <c r="F52" s="6"/>
      <c r="G52" s="6"/>
    </row>
    <row r="53">
      <c r="B53" s="6"/>
      <c r="C53" s="6"/>
      <c r="D53" s="6"/>
      <c r="E53" s="6"/>
      <c r="F53" s="6"/>
      <c r="G53" s="6"/>
    </row>
    <row r="54">
      <c r="B54" s="6"/>
      <c r="C54" s="6"/>
      <c r="D54" s="6"/>
      <c r="E54" s="6"/>
      <c r="F54" s="6"/>
      <c r="G54" s="6"/>
    </row>
    <row r="55">
      <c r="B55" s="6"/>
      <c r="C55" s="6"/>
      <c r="D55" s="6"/>
      <c r="E55" s="6"/>
      <c r="F55" s="6"/>
      <c r="G55" s="6"/>
    </row>
    <row r="56">
      <c r="B56" s="6"/>
      <c r="C56" s="6"/>
      <c r="D56" s="6"/>
      <c r="E56" s="6"/>
      <c r="F56" s="6"/>
      <c r="G56" s="6"/>
    </row>
    <row r="57">
      <c r="B57" s="6"/>
      <c r="C57" s="6"/>
      <c r="D57" s="6"/>
      <c r="E57" s="6"/>
      <c r="F57" s="6"/>
      <c r="G57" s="6"/>
    </row>
    <row r="58">
      <c r="B58" s="6"/>
      <c r="C58" s="6"/>
      <c r="D58" s="6"/>
      <c r="E58" s="6"/>
      <c r="F58" s="6"/>
      <c r="G58" s="6"/>
    </row>
    <row r="59">
      <c r="B59" s="6"/>
      <c r="C59" s="6"/>
      <c r="D59" s="6"/>
      <c r="E59" s="6"/>
      <c r="F59" s="6"/>
      <c r="G59" s="6"/>
    </row>
    <row r="60">
      <c r="B60" s="6"/>
      <c r="C60" s="6"/>
      <c r="D60" s="6"/>
      <c r="E60" s="6"/>
      <c r="F60" s="6"/>
      <c r="G60" s="6"/>
    </row>
    <row r="61">
      <c r="B61" s="6"/>
      <c r="C61" s="6"/>
      <c r="D61" s="6"/>
      <c r="E61" s="6"/>
      <c r="F61" s="6"/>
      <c r="G61" s="6"/>
    </row>
    <row r="62">
      <c r="B62" s="6"/>
      <c r="C62" s="6"/>
      <c r="D62" s="6"/>
      <c r="E62" s="6"/>
      <c r="F62" s="6"/>
      <c r="G62" s="6"/>
    </row>
    <row r="63">
      <c r="B63" s="6"/>
      <c r="C63" s="6"/>
      <c r="D63" s="6"/>
      <c r="E63" s="6"/>
      <c r="F63" s="6"/>
      <c r="G63" s="6"/>
    </row>
    <row r="64">
      <c r="B64" s="6"/>
      <c r="C64" s="6"/>
      <c r="D64" s="6"/>
      <c r="E64" s="6"/>
      <c r="F64" s="6"/>
      <c r="G64" s="6"/>
    </row>
    <row r="65">
      <c r="B65" s="6"/>
      <c r="C65" s="6"/>
      <c r="D65" s="6"/>
      <c r="E65" s="6"/>
      <c r="F65" s="6"/>
      <c r="G65" s="6"/>
    </row>
    <row r="66">
      <c r="B66" s="6"/>
      <c r="C66" s="6"/>
      <c r="D66" s="6"/>
      <c r="E66" s="6"/>
      <c r="F66" s="6"/>
      <c r="G66" s="6"/>
    </row>
    <row r="67">
      <c r="B67" s="6"/>
      <c r="C67" s="6"/>
      <c r="D67" s="6"/>
      <c r="E67" s="6"/>
      <c r="F67" s="6"/>
      <c r="G67" s="6"/>
    </row>
    <row r="68">
      <c r="B68" s="6"/>
      <c r="C68" s="6"/>
      <c r="D68" s="6"/>
      <c r="E68" s="6"/>
      <c r="F68" s="6"/>
      <c r="G68" s="6"/>
    </row>
    <row r="69">
      <c r="B69" s="6"/>
      <c r="C69" s="6"/>
      <c r="D69" s="6"/>
      <c r="E69" s="6"/>
      <c r="F69" s="6"/>
      <c r="G69" s="6"/>
    </row>
    <row r="70">
      <c r="B70" s="6"/>
      <c r="C70" s="6"/>
      <c r="D70" s="6"/>
      <c r="E70" s="6"/>
      <c r="F70" s="6"/>
      <c r="G70" s="6"/>
    </row>
    <row r="71">
      <c r="B71" s="6"/>
      <c r="C71" s="6"/>
      <c r="D71" s="6"/>
      <c r="E71" s="6"/>
      <c r="F71" s="6"/>
      <c r="G71" s="6"/>
    </row>
    <row r="72">
      <c r="B72" s="6"/>
      <c r="C72" s="6"/>
      <c r="D72" s="6"/>
      <c r="E72" s="6"/>
      <c r="F72" s="6"/>
      <c r="G72" s="6"/>
    </row>
    <row r="73">
      <c r="B73" s="6"/>
      <c r="C73" s="6"/>
      <c r="D73" s="6"/>
      <c r="E73" s="6"/>
      <c r="F73" s="6"/>
      <c r="G73" s="6"/>
    </row>
    <row r="74">
      <c r="B74" s="6"/>
      <c r="C74" s="6"/>
      <c r="D74" s="6"/>
      <c r="E74" s="6"/>
      <c r="F74" s="6"/>
      <c r="G74" s="6"/>
    </row>
    <row r="75">
      <c r="B75" s="6"/>
      <c r="C75" s="6"/>
      <c r="D75" s="6"/>
      <c r="E75" s="6"/>
      <c r="F75" s="6"/>
      <c r="G75" s="6"/>
    </row>
    <row r="76">
      <c r="B76" s="6"/>
      <c r="C76" s="6"/>
      <c r="D76" s="6"/>
      <c r="E76" s="6"/>
      <c r="F76" s="6"/>
      <c r="G76" s="6"/>
    </row>
    <row r="77">
      <c r="B77" s="6"/>
      <c r="C77" s="6"/>
      <c r="D77" s="6"/>
      <c r="E77" s="6"/>
      <c r="F77" s="6"/>
      <c r="G77" s="6"/>
    </row>
    <row r="78">
      <c r="B78" s="6"/>
      <c r="C78" s="6"/>
      <c r="D78" s="6"/>
      <c r="E78" s="6"/>
      <c r="F78" s="6"/>
      <c r="G78" s="6"/>
    </row>
    <row r="79">
      <c r="B79" s="6"/>
      <c r="C79" s="6"/>
      <c r="D79" s="6"/>
      <c r="E79" s="6"/>
      <c r="F79" s="6"/>
      <c r="G79" s="6"/>
    </row>
    <row r="80">
      <c r="B80" s="6"/>
      <c r="C80" s="6"/>
      <c r="D80" s="6"/>
      <c r="E80" s="6"/>
      <c r="F80" s="6"/>
      <c r="G80" s="6"/>
    </row>
    <row r="81">
      <c r="B81" s="6"/>
      <c r="C81" s="6"/>
      <c r="D81" s="6"/>
      <c r="E81" s="6"/>
      <c r="F81" s="6"/>
      <c r="G81" s="6"/>
    </row>
    <row r="82">
      <c r="B82" s="6"/>
      <c r="C82" s="6"/>
      <c r="D82" s="6"/>
      <c r="E82" s="6"/>
      <c r="F82" s="6"/>
      <c r="G82" s="6"/>
    </row>
    <row r="83">
      <c r="B83" s="6"/>
      <c r="C83" s="6"/>
      <c r="D83" s="6"/>
      <c r="E83" s="6"/>
      <c r="F83" s="6"/>
      <c r="G83" s="6"/>
    </row>
    <row r="84">
      <c r="B84" s="6"/>
      <c r="C84" s="6"/>
      <c r="D84" s="6"/>
      <c r="E84" s="6"/>
      <c r="F84" s="6"/>
      <c r="G84" s="6"/>
    </row>
    <row r="85">
      <c r="B85" s="6"/>
      <c r="C85" s="6"/>
      <c r="D85" s="6"/>
      <c r="E85" s="6"/>
      <c r="F85" s="6"/>
      <c r="G85" s="6"/>
    </row>
    <row r="86">
      <c r="B86" s="6"/>
      <c r="C86" s="6"/>
      <c r="D86" s="6"/>
      <c r="E86" s="6"/>
      <c r="F86" s="6"/>
      <c r="G86" s="6"/>
    </row>
    <row r="87">
      <c r="B87" s="6"/>
      <c r="C87" s="6"/>
      <c r="D87" s="6"/>
      <c r="E87" s="6"/>
      <c r="F87" s="6"/>
      <c r="G87" s="6"/>
    </row>
    <row r="88">
      <c r="B88" s="6"/>
      <c r="C88" s="6"/>
      <c r="D88" s="6"/>
      <c r="E88" s="6"/>
      <c r="F88" s="6"/>
      <c r="G88" s="6"/>
    </row>
    <row r="89">
      <c r="B89" s="6"/>
      <c r="C89" s="6"/>
      <c r="D89" s="6"/>
      <c r="E89" s="6"/>
      <c r="F89" s="6"/>
      <c r="G89" s="6"/>
    </row>
    <row r="90">
      <c r="B90" s="6"/>
      <c r="C90" s="6"/>
      <c r="D90" s="6"/>
      <c r="E90" s="6"/>
      <c r="F90" s="6"/>
      <c r="G90" s="6"/>
    </row>
    <row r="91">
      <c r="B91" s="6"/>
      <c r="C91" s="6"/>
      <c r="D91" s="6"/>
      <c r="E91" s="6"/>
      <c r="F91" s="6"/>
      <c r="G91" s="6"/>
    </row>
    <row r="92">
      <c r="B92" s="6"/>
      <c r="C92" s="6"/>
      <c r="D92" s="6"/>
      <c r="E92" s="6"/>
      <c r="F92" s="6"/>
      <c r="G92" s="6"/>
    </row>
    <row r="93">
      <c r="B93" s="6"/>
      <c r="C93" s="6"/>
      <c r="D93" s="6"/>
      <c r="E93" s="6"/>
      <c r="F93" s="6"/>
      <c r="G93" s="6"/>
    </row>
    <row r="94">
      <c r="B94" s="6"/>
      <c r="C94" s="6"/>
      <c r="D94" s="6"/>
      <c r="E94" s="6"/>
      <c r="F94" s="6"/>
      <c r="G94" s="6"/>
    </row>
    <row r="95">
      <c r="B95" s="6"/>
      <c r="C95" s="6"/>
      <c r="D95" s="6"/>
      <c r="E95" s="6"/>
      <c r="F95" s="6"/>
      <c r="G95" s="6"/>
    </row>
    <row r="96">
      <c r="B96" s="6"/>
      <c r="C96" s="6"/>
      <c r="D96" s="6"/>
      <c r="E96" s="6"/>
      <c r="F96" s="6"/>
      <c r="G96" s="6"/>
    </row>
    <row r="97">
      <c r="B97" s="6"/>
      <c r="C97" s="6"/>
      <c r="D97" s="6"/>
      <c r="E97" s="6"/>
      <c r="F97" s="6"/>
      <c r="G97" s="6"/>
    </row>
    <row r="98">
      <c r="B98" s="6"/>
      <c r="C98" s="6"/>
      <c r="D98" s="6"/>
      <c r="E98" s="6"/>
      <c r="F98" s="6"/>
      <c r="G98" s="6"/>
    </row>
    <row r="99">
      <c r="B99" s="6"/>
      <c r="C99" s="6"/>
      <c r="D99" s="6"/>
      <c r="E99" s="6"/>
      <c r="F99" s="6"/>
      <c r="G99" s="6"/>
    </row>
    <row r="100">
      <c r="B100" s="6"/>
      <c r="C100" s="6"/>
      <c r="D100" s="6"/>
      <c r="E100" s="6"/>
      <c r="F100" s="6"/>
      <c r="G100" s="6"/>
    </row>
    <row r="101">
      <c r="B101" s="6"/>
      <c r="C101" s="6"/>
      <c r="D101" s="6"/>
      <c r="E101" s="6"/>
      <c r="F101" s="6"/>
      <c r="G101" s="6"/>
    </row>
    <row r="102">
      <c r="B102" s="6"/>
      <c r="C102" s="6"/>
      <c r="D102" s="6"/>
      <c r="E102" s="6"/>
      <c r="F102" s="6"/>
      <c r="G102" s="6"/>
    </row>
    <row r="103">
      <c r="B103" s="6"/>
      <c r="C103" s="6"/>
      <c r="D103" s="6"/>
      <c r="E103" s="6"/>
      <c r="F103" s="6"/>
      <c r="G103" s="6"/>
    </row>
    <row r="104">
      <c r="B104" s="6"/>
      <c r="C104" s="6"/>
      <c r="D104" s="6"/>
      <c r="E104" s="6"/>
      <c r="F104" s="6"/>
      <c r="G104" s="6"/>
    </row>
    <row r="105">
      <c r="B105" s="6"/>
      <c r="C105" s="6"/>
      <c r="D105" s="6"/>
      <c r="E105" s="6"/>
      <c r="F105" s="6"/>
      <c r="G105" s="6"/>
    </row>
    <row r="106">
      <c r="B106" s="6"/>
      <c r="C106" s="6"/>
      <c r="D106" s="6"/>
      <c r="E106" s="6"/>
      <c r="F106" s="6"/>
      <c r="G106" s="6"/>
    </row>
    <row r="107">
      <c r="B107" s="6"/>
      <c r="C107" s="6"/>
      <c r="D107" s="6"/>
      <c r="E107" s="6"/>
      <c r="F107" s="6"/>
      <c r="G107" s="6"/>
    </row>
    <row r="108">
      <c r="B108" s="6"/>
      <c r="C108" s="6"/>
      <c r="D108" s="6"/>
      <c r="E108" s="6"/>
      <c r="F108" s="6"/>
      <c r="G108" s="6"/>
    </row>
    <row r="109">
      <c r="B109" s="6"/>
      <c r="C109" s="6"/>
      <c r="D109" s="6"/>
      <c r="E109" s="6"/>
      <c r="F109" s="6"/>
      <c r="G109" s="6"/>
    </row>
    <row r="110">
      <c r="B110" s="6"/>
      <c r="C110" s="6"/>
      <c r="D110" s="6"/>
      <c r="E110" s="6"/>
      <c r="F110" s="6"/>
      <c r="G110" s="6"/>
    </row>
    <row r="111">
      <c r="B111" s="6"/>
      <c r="C111" s="6"/>
      <c r="D111" s="6"/>
      <c r="E111" s="6"/>
      <c r="F111" s="6"/>
      <c r="G111" s="6"/>
    </row>
    <row r="112">
      <c r="B112" s="6"/>
      <c r="C112" s="6"/>
      <c r="D112" s="6"/>
      <c r="E112" s="6"/>
      <c r="F112" s="6"/>
      <c r="G112" s="6"/>
    </row>
    <row r="113">
      <c r="B113" s="6"/>
      <c r="C113" s="6"/>
      <c r="D113" s="6"/>
      <c r="E113" s="6"/>
      <c r="F113" s="6"/>
      <c r="G113" s="6"/>
    </row>
    <row r="114">
      <c r="B114" s="6"/>
      <c r="C114" s="6"/>
      <c r="D114" s="6"/>
      <c r="E114" s="6"/>
      <c r="F114" s="6"/>
      <c r="G114" s="6"/>
    </row>
    <row r="115">
      <c r="B115" s="6"/>
      <c r="C115" s="6"/>
      <c r="D115" s="6"/>
      <c r="E115" s="6"/>
      <c r="F115" s="6"/>
      <c r="G115" s="6"/>
    </row>
    <row r="116">
      <c r="B116" s="6"/>
      <c r="C116" s="6"/>
      <c r="D116" s="6"/>
      <c r="E116" s="6"/>
      <c r="F116" s="6"/>
      <c r="G116" s="6"/>
    </row>
    <row r="117">
      <c r="B117" s="6"/>
      <c r="C117" s="6"/>
      <c r="D117" s="6"/>
      <c r="E117" s="6"/>
      <c r="F117" s="6"/>
      <c r="G117" s="6"/>
    </row>
    <row r="118">
      <c r="B118" s="6"/>
      <c r="C118" s="6"/>
      <c r="D118" s="6"/>
      <c r="E118" s="6"/>
      <c r="F118" s="6"/>
      <c r="G118" s="6"/>
    </row>
    <row r="119">
      <c r="B119" s="6"/>
      <c r="C119" s="6"/>
      <c r="D119" s="6"/>
      <c r="E119" s="6"/>
      <c r="F119" s="6"/>
      <c r="G119" s="6"/>
    </row>
    <row r="120">
      <c r="B120" s="6"/>
      <c r="C120" s="6"/>
      <c r="D120" s="6"/>
      <c r="E120" s="6"/>
      <c r="F120" s="6"/>
      <c r="G120" s="6"/>
    </row>
    <row r="121">
      <c r="B121" s="6"/>
      <c r="C121" s="6"/>
      <c r="D121" s="6"/>
      <c r="E121" s="6"/>
      <c r="F121" s="6"/>
      <c r="G121" s="6"/>
    </row>
    <row r="122">
      <c r="B122" s="6"/>
      <c r="C122" s="6"/>
      <c r="D122" s="6"/>
      <c r="E122" s="6"/>
      <c r="F122" s="6"/>
      <c r="G122" s="6"/>
    </row>
    <row r="123">
      <c r="B123" s="6"/>
      <c r="C123" s="6"/>
      <c r="D123" s="6"/>
      <c r="E123" s="6"/>
      <c r="F123" s="6"/>
      <c r="G123" s="6"/>
    </row>
    <row r="124">
      <c r="B124" s="6"/>
      <c r="C124" s="6"/>
      <c r="D124" s="6"/>
      <c r="E124" s="6"/>
      <c r="F124" s="6"/>
      <c r="G124" s="6"/>
    </row>
    <row r="125">
      <c r="B125" s="6"/>
      <c r="C125" s="6"/>
      <c r="D125" s="6"/>
      <c r="E125" s="6"/>
      <c r="F125" s="6"/>
      <c r="G125" s="6"/>
    </row>
    <row r="126">
      <c r="B126" s="6"/>
      <c r="C126" s="6"/>
      <c r="D126" s="6"/>
      <c r="E126" s="6"/>
      <c r="F126" s="6"/>
      <c r="G126" s="6"/>
    </row>
    <row r="127">
      <c r="B127" s="6"/>
      <c r="C127" s="6"/>
      <c r="D127" s="6"/>
      <c r="E127" s="6"/>
      <c r="F127" s="6"/>
      <c r="G127" s="6"/>
    </row>
    <row r="128">
      <c r="B128" s="6"/>
      <c r="C128" s="6"/>
      <c r="D128" s="6"/>
      <c r="E128" s="6"/>
      <c r="F128" s="6"/>
      <c r="G128" s="6"/>
    </row>
    <row r="129">
      <c r="B129" s="6"/>
      <c r="C129" s="6"/>
      <c r="D129" s="6"/>
      <c r="E129" s="6"/>
      <c r="F129" s="6"/>
      <c r="G129" s="6"/>
    </row>
    <row r="130">
      <c r="B130" s="6"/>
      <c r="C130" s="6"/>
      <c r="D130" s="6"/>
      <c r="E130" s="6"/>
      <c r="F130" s="6"/>
      <c r="G130" s="6"/>
    </row>
    <row r="131">
      <c r="B131" s="6"/>
      <c r="C131" s="6"/>
      <c r="D131" s="6"/>
      <c r="E131" s="6"/>
      <c r="F131" s="6"/>
      <c r="G131" s="6"/>
    </row>
    <row r="132">
      <c r="B132" s="6"/>
      <c r="C132" s="6"/>
      <c r="D132" s="6"/>
      <c r="E132" s="6"/>
      <c r="F132" s="6"/>
      <c r="G132" s="6"/>
    </row>
    <row r="133">
      <c r="B133" s="6"/>
      <c r="C133" s="6"/>
      <c r="D133" s="6"/>
      <c r="E133" s="6"/>
      <c r="F133" s="6"/>
      <c r="G133" s="6"/>
    </row>
    <row r="134">
      <c r="B134" s="6"/>
      <c r="C134" s="6"/>
      <c r="D134" s="6"/>
      <c r="E134" s="6"/>
      <c r="F134" s="6"/>
      <c r="G134" s="6"/>
    </row>
    <row r="135">
      <c r="B135" s="6"/>
      <c r="C135" s="6"/>
      <c r="D135" s="6"/>
      <c r="E135" s="6"/>
      <c r="F135" s="6"/>
      <c r="G135" s="6"/>
    </row>
    <row r="136">
      <c r="B136" s="6"/>
      <c r="C136" s="6"/>
      <c r="D136" s="6"/>
      <c r="E136" s="6"/>
      <c r="F136" s="6"/>
      <c r="G136" s="6"/>
    </row>
    <row r="137">
      <c r="B137" s="6"/>
      <c r="C137" s="6"/>
      <c r="D137" s="6"/>
      <c r="E137" s="6"/>
      <c r="F137" s="6"/>
      <c r="G137" s="6"/>
    </row>
    <row r="138">
      <c r="B138" s="6"/>
      <c r="C138" s="6"/>
      <c r="D138" s="6"/>
      <c r="E138" s="6"/>
      <c r="F138" s="6"/>
      <c r="G138" s="6"/>
    </row>
    <row r="139">
      <c r="B139" s="6"/>
      <c r="C139" s="6"/>
      <c r="D139" s="6"/>
      <c r="E139" s="6"/>
      <c r="F139" s="6"/>
      <c r="G139" s="6"/>
    </row>
    <row r="140">
      <c r="B140" s="6"/>
      <c r="C140" s="6"/>
      <c r="D140" s="6"/>
      <c r="E140" s="6"/>
      <c r="F140" s="6"/>
      <c r="G140" s="6"/>
    </row>
    <row r="141">
      <c r="B141" s="6"/>
      <c r="C141" s="6"/>
      <c r="D141" s="6"/>
      <c r="E141" s="6"/>
      <c r="F141" s="6"/>
      <c r="G141" s="6"/>
    </row>
    <row r="142">
      <c r="B142" s="6"/>
      <c r="C142" s="6"/>
      <c r="D142" s="6"/>
      <c r="E142" s="6"/>
      <c r="F142" s="6"/>
      <c r="G142" s="6"/>
    </row>
    <row r="143">
      <c r="B143" s="6"/>
      <c r="C143" s="6"/>
      <c r="D143" s="6"/>
      <c r="E143" s="6"/>
      <c r="F143" s="6"/>
      <c r="G143" s="6"/>
    </row>
    <row r="144">
      <c r="B144" s="6"/>
      <c r="C144" s="6"/>
      <c r="D144" s="6"/>
      <c r="E144" s="6"/>
      <c r="F144" s="6"/>
      <c r="G144" s="6"/>
    </row>
    <row r="145">
      <c r="B145" s="6"/>
      <c r="C145" s="6"/>
      <c r="D145" s="6"/>
      <c r="E145" s="6"/>
      <c r="F145" s="6"/>
      <c r="G145" s="6"/>
    </row>
    <row r="146">
      <c r="B146" s="6"/>
      <c r="C146" s="6"/>
      <c r="D146" s="6"/>
      <c r="E146" s="6"/>
      <c r="F146" s="6"/>
      <c r="G146" s="6"/>
    </row>
    <row r="147">
      <c r="B147" s="6"/>
      <c r="C147" s="6"/>
      <c r="D147" s="6"/>
      <c r="E147" s="6"/>
      <c r="F147" s="6"/>
      <c r="G147" s="6"/>
    </row>
    <row r="148">
      <c r="B148" s="6"/>
      <c r="C148" s="6"/>
      <c r="D148" s="6"/>
      <c r="E148" s="6"/>
      <c r="F148" s="6"/>
      <c r="G148" s="6"/>
    </row>
    <row r="149">
      <c r="B149" s="6"/>
      <c r="C149" s="6"/>
      <c r="D149" s="6"/>
      <c r="E149" s="6"/>
      <c r="F149" s="6"/>
      <c r="G149" s="6"/>
    </row>
    <row r="150">
      <c r="B150" s="6"/>
      <c r="C150" s="6"/>
      <c r="D150" s="6"/>
      <c r="E150" s="6"/>
      <c r="F150" s="6"/>
      <c r="G150" s="6"/>
    </row>
    <row r="151">
      <c r="B151" s="6"/>
      <c r="C151" s="6"/>
      <c r="D151" s="6"/>
      <c r="E151" s="6"/>
      <c r="F151" s="6"/>
      <c r="G151" s="6"/>
    </row>
    <row r="152">
      <c r="B152" s="6"/>
      <c r="C152" s="6"/>
      <c r="D152" s="6"/>
      <c r="E152" s="6"/>
      <c r="F152" s="6"/>
      <c r="G152" s="6"/>
    </row>
    <row r="153">
      <c r="B153" s="6"/>
      <c r="C153" s="6"/>
      <c r="D153" s="6"/>
      <c r="E153" s="6"/>
      <c r="F153" s="6"/>
      <c r="G153" s="6"/>
    </row>
    <row r="154">
      <c r="B154" s="6"/>
      <c r="C154" s="6"/>
      <c r="D154" s="6"/>
      <c r="E154" s="6"/>
      <c r="F154" s="6"/>
      <c r="G154" s="6"/>
    </row>
    <row r="155">
      <c r="B155" s="6"/>
      <c r="C155" s="6"/>
      <c r="D155" s="6"/>
      <c r="E155" s="6"/>
      <c r="F155" s="6"/>
      <c r="G155" s="6"/>
    </row>
    <row r="156">
      <c r="B156" s="6"/>
      <c r="C156" s="6"/>
      <c r="D156" s="6"/>
      <c r="E156" s="6"/>
      <c r="F156" s="6"/>
      <c r="G156" s="6"/>
    </row>
    <row r="157">
      <c r="B157" s="6"/>
      <c r="C157" s="6"/>
      <c r="D157" s="6"/>
      <c r="E157" s="6"/>
      <c r="F157" s="6"/>
      <c r="G157" s="6"/>
    </row>
    <row r="158">
      <c r="B158" s="6"/>
      <c r="C158" s="6"/>
      <c r="D158" s="6"/>
      <c r="E158" s="6"/>
      <c r="F158" s="6"/>
      <c r="G158" s="6"/>
    </row>
    <row r="159">
      <c r="B159" s="6"/>
      <c r="C159" s="6"/>
      <c r="D159" s="6"/>
      <c r="E159" s="6"/>
      <c r="F159" s="6"/>
      <c r="G159" s="6"/>
    </row>
    <row r="160">
      <c r="B160" s="6"/>
      <c r="C160" s="6"/>
      <c r="D160" s="6"/>
      <c r="E160" s="6"/>
      <c r="F160" s="6"/>
      <c r="G160" s="6"/>
    </row>
    <row r="161">
      <c r="B161" s="6"/>
      <c r="C161" s="6"/>
      <c r="D161" s="6"/>
      <c r="E161" s="6"/>
      <c r="F161" s="6"/>
      <c r="G161" s="6"/>
    </row>
    <row r="162">
      <c r="B162" s="6"/>
      <c r="C162" s="6"/>
      <c r="D162" s="6"/>
      <c r="E162" s="6"/>
      <c r="F162" s="6"/>
      <c r="G162" s="6"/>
    </row>
    <row r="163">
      <c r="B163" s="6"/>
      <c r="C163" s="6"/>
      <c r="D163" s="6"/>
      <c r="E163" s="6"/>
      <c r="F163" s="6"/>
      <c r="G163" s="6"/>
    </row>
    <row r="164">
      <c r="B164" s="6"/>
      <c r="C164" s="6"/>
      <c r="D164" s="6"/>
      <c r="E164" s="6"/>
      <c r="F164" s="6"/>
      <c r="G164" s="6"/>
    </row>
    <row r="165">
      <c r="B165" s="6"/>
      <c r="C165" s="6"/>
      <c r="D165" s="6"/>
      <c r="E165" s="6"/>
      <c r="F165" s="6"/>
      <c r="G165" s="6"/>
    </row>
    <row r="166">
      <c r="B166" s="6"/>
      <c r="C166" s="6"/>
      <c r="D166" s="6"/>
      <c r="E166" s="6"/>
      <c r="F166" s="6"/>
      <c r="G166" s="6"/>
    </row>
    <row r="167">
      <c r="B167" s="6"/>
      <c r="C167" s="6"/>
      <c r="D167" s="6"/>
      <c r="E167" s="6"/>
      <c r="F167" s="6"/>
      <c r="G167" s="6"/>
    </row>
    <row r="168">
      <c r="B168" s="6"/>
      <c r="C168" s="6"/>
      <c r="D168" s="6"/>
      <c r="E168" s="6"/>
      <c r="F168" s="6"/>
      <c r="G168" s="6"/>
    </row>
    <row r="169">
      <c r="B169" s="6"/>
      <c r="C169" s="6"/>
      <c r="D169" s="6"/>
      <c r="E169" s="6"/>
      <c r="F169" s="6"/>
      <c r="G169" s="6"/>
    </row>
    <row r="170">
      <c r="B170" s="6"/>
      <c r="C170" s="6"/>
      <c r="D170" s="6"/>
      <c r="E170" s="6"/>
      <c r="F170" s="6"/>
      <c r="G170" s="6"/>
    </row>
    <row r="171">
      <c r="B171" s="6"/>
      <c r="C171" s="6"/>
      <c r="D171" s="6"/>
      <c r="E171" s="6"/>
      <c r="F171" s="6"/>
      <c r="G171" s="6"/>
    </row>
    <row r="172">
      <c r="B172" s="6"/>
      <c r="C172" s="6"/>
      <c r="D172" s="6"/>
      <c r="E172" s="6"/>
      <c r="F172" s="6"/>
      <c r="G172" s="6"/>
    </row>
    <row r="173">
      <c r="B173" s="6"/>
      <c r="C173" s="6"/>
      <c r="D173" s="6"/>
      <c r="E173" s="6"/>
      <c r="F173" s="6"/>
      <c r="G173" s="6"/>
    </row>
    <row r="174">
      <c r="B174" s="6"/>
      <c r="C174" s="6"/>
      <c r="D174" s="6"/>
      <c r="E174" s="6"/>
      <c r="F174" s="6"/>
      <c r="G174" s="6"/>
    </row>
    <row r="175">
      <c r="B175" s="6"/>
      <c r="C175" s="6"/>
      <c r="D175" s="6"/>
      <c r="E175" s="6"/>
      <c r="F175" s="6"/>
      <c r="G175" s="6"/>
    </row>
    <row r="176">
      <c r="B176" s="6"/>
      <c r="C176" s="6"/>
      <c r="D176" s="6"/>
      <c r="E176" s="6"/>
      <c r="F176" s="6"/>
      <c r="G176" s="6"/>
    </row>
    <row r="177">
      <c r="B177" s="6"/>
      <c r="C177" s="6"/>
      <c r="D177" s="6"/>
      <c r="E177" s="6"/>
      <c r="F177" s="6"/>
      <c r="G177" s="6"/>
    </row>
    <row r="178">
      <c r="B178" s="6"/>
      <c r="C178" s="6"/>
      <c r="D178" s="6"/>
      <c r="E178" s="6"/>
      <c r="F178" s="6"/>
      <c r="G178" s="6"/>
    </row>
    <row r="179">
      <c r="B179" s="6"/>
      <c r="C179" s="6"/>
      <c r="D179" s="6"/>
      <c r="E179" s="6"/>
      <c r="F179" s="6"/>
      <c r="G179" s="6"/>
    </row>
    <row r="180">
      <c r="B180" s="6"/>
      <c r="C180" s="6"/>
      <c r="D180" s="6"/>
      <c r="E180" s="6"/>
      <c r="F180" s="6"/>
      <c r="G180" s="6"/>
    </row>
    <row r="181">
      <c r="B181" s="6"/>
      <c r="C181" s="6"/>
      <c r="D181" s="6"/>
      <c r="E181" s="6"/>
      <c r="F181" s="6"/>
      <c r="G181" s="6"/>
    </row>
    <row r="182">
      <c r="B182" s="6"/>
      <c r="C182" s="6"/>
      <c r="D182" s="6"/>
      <c r="E182" s="6"/>
      <c r="F182" s="6"/>
      <c r="G182" s="6"/>
    </row>
    <row r="183">
      <c r="B183" s="6"/>
      <c r="C183" s="6"/>
      <c r="D183" s="6"/>
      <c r="E183" s="6"/>
      <c r="F183" s="6"/>
      <c r="G183" s="6"/>
    </row>
    <row r="184">
      <c r="B184" s="6"/>
      <c r="C184" s="6"/>
      <c r="D184" s="6"/>
      <c r="E184" s="6"/>
      <c r="F184" s="6"/>
      <c r="G184" s="6"/>
    </row>
    <row r="185">
      <c r="B185" s="6"/>
      <c r="C185" s="6"/>
      <c r="D185" s="6"/>
      <c r="E185" s="6"/>
      <c r="F185" s="6"/>
      <c r="G185" s="6"/>
    </row>
    <row r="186">
      <c r="B186" s="6"/>
      <c r="C186" s="6"/>
      <c r="D186" s="6"/>
      <c r="E186" s="6"/>
      <c r="F186" s="6"/>
      <c r="G186" s="6"/>
    </row>
    <row r="187">
      <c r="B187" s="6"/>
      <c r="C187" s="6"/>
      <c r="D187" s="6"/>
      <c r="E187" s="6"/>
      <c r="F187" s="6"/>
      <c r="G187" s="6"/>
    </row>
    <row r="188">
      <c r="B188" s="6"/>
      <c r="C188" s="6"/>
      <c r="D188" s="6"/>
      <c r="E188" s="6"/>
      <c r="F188" s="6"/>
      <c r="G188" s="6"/>
    </row>
    <row r="189">
      <c r="B189" s="6"/>
      <c r="C189" s="6"/>
      <c r="D189" s="6"/>
      <c r="E189" s="6"/>
      <c r="F189" s="6"/>
      <c r="G189" s="6"/>
    </row>
    <row r="190">
      <c r="B190" s="6"/>
      <c r="C190" s="6"/>
      <c r="D190" s="6"/>
      <c r="E190" s="6"/>
      <c r="F190" s="6"/>
      <c r="G190" s="6"/>
    </row>
    <row r="191">
      <c r="B191" s="6"/>
      <c r="C191" s="6"/>
      <c r="D191" s="6"/>
      <c r="E191" s="6"/>
      <c r="F191" s="6"/>
      <c r="G191" s="6"/>
    </row>
    <row r="192">
      <c r="B192" s="6"/>
      <c r="C192" s="6"/>
      <c r="D192" s="6"/>
      <c r="E192" s="6"/>
      <c r="F192" s="6"/>
      <c r="G192" s="6"/>
    </row>
    <row r="193">
      <c r="B193" s="6"/>
      <c r="C193" s="6"/>
      <c r="D193" s="6"/>
      <c r="E193" s="6"/>
      <c r="F193" s="6"/>
      <c r="G193" s="6"/>
    </row>
    <row r="194">
      <c r="B194" s="6"/>
      <c r="C194" s="6"/>
      <c r="D194" s="6"/>
      <c r="E194" s="6"/>
      <c r="F194" s="6"/>
      <c r="G194" s="6"/>
    </row>
    <row r="195">
      <c r="B195" s="6"/>
      <c r="C195" s="6"/>
      <c r="D195" s="6"/>
      <c r="E195" s="6"/>
      <c r="F195" s="6"/>
      <c r="G195" s="6"/>
    </row>
    <row r="196">
      <c r="B196" s="6"/>
      <c r="C196" s="6"/>
      <c r="D196" s="6"/>
      <c r="E196" s="6"/>
      <c r="F196" s="6"/>
      <c r="G196" s="6"/>
    </row>
    <row r="197">
      <c r="B197" s="6"/>
      <c r="C197" s="6"/>
      <c r="D197" s="6"/>
      <c r="E197" s="6"/>
      <c r="F197" s="6"/>
      <c r="G197" s="6"/>
    </row>
    <row r="198">
      <c r="B198" s="6"/>
      <c r="C198" s="6"/>
      <c r="D198" s="6"/>
      <c r="E198" s="6"/>
      <c r="F198" s="6"/>
      <c r="G198" s="6"/>
    </row>
    <row r="199">
      <c r="B199" s="6"/>
      <c r="C199" s="6"/>
      <c r="D199" s="6"/>
      <c r="E199" s="6"/>
      <c r="F199" s="6"/>
      <c r="G199" s="6"/>
    </row>
    <row r="200">
      <c r="B200" s="6"/>
      <c r="C200" s="6"/>
      <c r="D200" s="6"/>
      <c r="E200" s="6"/>
      <c r="F200" s="6"/>
      <c r="G200" s="6"/>
    </row>
    <row r="201">
      <c r="B201" s="6"/>
      <c r="C201" s="6"/>
      <c r="D201" s="6"/>
      <c r="E201" s="6"/>
      <c r="F201" s="6"/>
      <c r="G201" s="6"/>
    </row>
    <row r="202">
      <c r="B202" s="6"/>
      <c r="C202" s="6"/>
      <c r="D202" s="6"/>
      <c r="E202" s="6"/>
      <c r="F202" s="6"/>
      <c r="G202" s="6"/>
    </row>
    <row r="203">
      <c r="B203" s="6"/>
      <c r="C203" s="6"/>
      <c r="D203" s="6"/>
      <c r="E203" s="6"/>
      <c r="F203" s="6"/>
      <c r="G203" s="6"/>
    </row>
    <row r="204">
      <c r="B204" s="6"/>
      <c r="C204" s="6"/>
      <c r="D204" s="6"/>
      <c r="E204" s="6"/>
      <c r="F204" s="6"/>
      <c r="G204" s="6"/>
    </row>
    <row r="205">
      <c r="B205" s="6"/>
      <c r="C205" s="6"/>
      <c r="D205" s="6"/>
      <c r="E205" s="6"/>
      <c r="F205" s="6"/>
      <c r="G205" s="6"/>
    </row>
    <row r="206">
      <c r="B206" s="6"/>
      <c r="C206" s="6"/>
      <c r="D206" s="6"/>
      <c r="E206" s="6"/>
      <c r="F206" s="6"/>
      <c r="G206" s="6"/>
    </row>
    <row r="207">
      <c r="B207" s="6"/>
      <c r="C207" s="6"/>
      <c r="D207" s="6"/>
      <c r="E207" s="6"/>
      <c r="F207" s="6"/>
      <c r="G207" s="6"/>
    </row>
    <row r="208">
      <c r="B208" s="6"/>
      <c r="C208" s="6"/>
      <c r="D208" s="6"/>
      <c r="E208" s="6"/>
      <c r="F208" s="6"/>
      <c r="G208" s="6"/>
    </row>
    <row r="209">
      <c r="B209" s="6"/>
      <c r="C209" s="6"/>
      <c r="D209" s="6"/>
      <c r="E209" s="6"/>
      <c r="F209" s="6"/>
      <c r="G209" s="6"/>
    </row>
    <row r="210">
      <c r="B210" s="6"/>
      <c r="C210" s="6"/>
      <c r="D210" s="6"/>
      <c r="E210" s="6"/>
      <c r="F210" s="6"/>
      <c r="G210" s="6"/>
    </row>
    <row r="211">
      <c r="B211" s="6"/>
      <c r="C211" s="6"/>
      <c r="D211" s="6"/>
      <c r="E211" s="6"/>
      <c r="F211" s="6"/>
      <c r="G211" s="6"/>
    </row>
    <row r="212">
      <c r="B212" s="6"/>
      <c r="C212" s="6"/>
      <c r="D212" s="6"/>
      <c r="E212" s="6"/>
      <c r="F212" s="6"/>
      <c r="G212" s="6"/>
    </row>
    <row r="213">
      <c r="B213" s="6"/>
      <c r="C213" s="6"/>
      <c r="D213" s="6"/>
      <c r="E213" s="6"/>
      <c r="F213" s="6"/>
      <c r="G213" s="6"/>
    </row>
    <row r="214">
      <c r="B214" s="6"/>
      <c r="C214" s="6"/>
      <c r="D214" s="6"/>
      <c r="E214" s="6"/>
      <c r="F214" s="6"/>
      <c r="G214" s="6"/>
    </row>
    <row r="215">
      <c r="B215" s="6"/>
      <c r="C215" s="6"/>
      <c r="D215" s="6"/>
      <c r="E215" s="6"/>
      <c r="F215" s="6"/>
      <c r="G215" s="6"/>
    </row>
    <row r="216">
      <c r="B216" s="6"/>
      <c r="C216" s="6"/>
      <c r="D216" s="6"/>
      <c r="E216" s="6"/>
      <c r="F216" s="6"/>
      <c r="G216" s="6"/>
    </row>
    <row r="217">
      <c r="B217" s="6"/>
      <c r="C217" s="6"/>
      <c r="D217" s="6"/>
      <c r="E217" s="6"/>
      <c r="F217" s="6"/>
      <c r="G217" s="6"/>
    </row>
    <row r="218">
      <c r="B218" s="6"/>
      <c r="C218" s="6"/>
      <c r="D218" s="6"/>
      <c r="E218" s="6"/>
      <c r="F218" s="6"/>
      <c r="G218" s="6"/>
    </row>
    <row r="219">
      <c r="B219" s="6"/>
      <c r="C219" s="6"/>
      <c r="D219" s="6"/>
      <c r="E219" s="6"/>
      <c r="F219" s="6"/>
      <c r="G219" s="6"/>
    </row>
    <row r="220">
      <c r="B220" s="6"/>
      <c r="C220" s="6"/>
      <c r="D220" s="6"/>
      <c r="E220" s="6"/>
      <c r="F220" s="6"/>
      <c r="G220" s="6"/>
    </row>
    <row r="221">
      <c r="B221" s="6"/>
      <c r="C221" s="6"/>
      <c r="D221" s="6"/>
      <c r="E221" s="6"/>
      <c r="F221" s="6"/>
      <c r="G221" s="6"/>
    </row>
    <row r="222">
      <c r="B222" s="6"/>
      <c r="C222" s="6"/>
      <c r="D222" s="6"/>
      <c r="E222" s="6"/>
      <c r="F222" s="6"/>
      <c r="G222" s="6"/>
    </row>
    <row r="223">
      <c r="B223" s="6"/>
      <c r="C223" s="6"/>
      <c r="D223" s="6"/>
      <c r="E223" s="6"/>
      <c r="F223" s="6"/>
      <c r="G223" s="6"/>
    </row>
    <row r="224">
      <c r="B224" s="6"/>
      <c r="C224" s="6"/>
      <c r="D224" s="6"/>
      <c r="E224" s="6"/>
      <c r="F224" s="6"/>
      <c r="G224" s="6"/>
    </row>
    <row r="225">
      <c r="B225" s="6"/>
      <c r="C225" s="6"/>
      <c r="D225" s="6"/>
      <c r="E225" s="6"/>
      <c r="F225" s="6"/>
      <c r="G225" s="6"/>
    </row>
    <row r="226">
      <c r="B226" s="6"/>
      <c r="C226" s="6"/>
      <c r="D226" s="6"/>
      <c r="E226" s="6"/>
      <c r="F226" s="6"/>
      <c r="G226" s="6"/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4"/>
    <col collapsed="false" customWidth="true" hidden="false" max="4" min="4" style="0" width="54"/>
    <col collapsed="false" customWidth="true" hidden="false" max="5" min="5" style="0" width="18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69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Clock Domain</v>
      </c>
      <c r="G1" s="5" t="str">
        <v>TAG</v>
      </c>
      <c r="H1" s="5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customHeight="true" ht="19" r="2">
      <c r="A2" s="2"/>
      <c r="B2" s="4" t="str">
        <v>input</v>
      </c>
      <c r="C2" s="4" t="str">
        <v>ddrc_clk</v>
      </c>
      <c r="D2" s="4">
        <v>1</v>
      </c>
      <c r="E2" s="1" t="str">
        <v>CRG</v>
      </c>
      <c r="F2" s="4" t="str">
        <v>ddrc_clk</v>
      </c>
      <c r="G2" s="1"/>
      <c r="H2" s="4" t="str">
        <v>core_clk
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customHeight="true" ht="19" r="3">
      <c r="A3" s="2"/>
      <c r="B3" s="4" t="str">
        <v>input</v>
      </c>
      <c r="C3" s="4" t="str">
        <v>ddrc_rst_n</v>
      </c>
      <c r="D3" s="4">
        <v>1</v>
      </c>
      <c r="E3" s="1" t="str">
        <v>CRG</v>
      </c>
      <c r="F3" s="4" t="str">
        <v>ddrc_rst_n</v>
      </c>
      <c r="G3" s="1"/>
      <c r="H3" s="4" t="str">
        <v>core_rstn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>
      <c r="A4" s="2"/>
      <c r="B4" s="4" t="str">
        <v>input</v>
      </c>
      <c r="C4" s="3" t="str">
        <v>actpre_pa_cmd_vld</v>
      </c>
      <c r="D4" s="1">
        <v>1</v>
      </c>
      <c r="E4" s="1" t="str">
        <v>TOP</v>
      </c>
      <c r="F4" s="4" t="str">
        <v>core_clk
</v>
      </c>
      <c r="G4" s="1" t="str">
        <v>act/pre_if_be</v>
      </c>
      <c r="H4" s="4" t="str">
        <v>ACT/PRE command valid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2"/>
      <c r="B5" s="4" t="str">
        <v>output</v>
      </c>
      <c r="C5" s="3" t="str">
        <v>actpre_pa_cmd_rdy</v>
      </c>
      <c r="D5" s="1">
        <v>1</v>
      </c>
      <c r="E5" s="1" t="str">
        <v>TOP</v>
      </c>
      <c r="F5" s="4" t="str">
        <v>core_clk
</v>
      </c>
      <c r="G5" s="1" t="str">
        <v>act/pre_if_be</v>
      </c>
      <c r="H5" s="4" t="str">
        <v>act_pre_load(Load is connected, Grant will be connected if timing could not meet)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2"/>
      <c r="B6" s="4" t="str">
        <v>input
</v>
      </c>
      <c r="C6" s="3" t="str">
        <v>actpre_pa_cmd_type
</v>
      </c>
      <c r="D6" s="1">
        <v>2</v>
      </c>
      <c r="E6" s="1" t="str">
        <v>TOP</v>
      </c>
      <c r="F6" s="4" t="str">
        <v>core_clk
</v>
      </c>
      <c r="G6" s="1" t="str">
        <v>act/pre_if_be</v>
      </c>
      <c r="H6" s="4" t="str">
        <v>ACT/PRE command type.0: ACT1: PRE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2"/>
      <c r="B7" s="4" t="str">
        <v>input</v>
      </c>
      <c r="C7" s="3" t="str">
        <v>actpre_pa_cmd_hqos</v>
      </c>
      <c r="D7" s="4">
        <v>1</v>
      </c>
      <c r="E7" s="1" t="str">
        <v>TOP</v>
      </c>
      <c r="F7" s="4" t="str">
        <v>core_clk
</v>
      </c>
      <c r="G7" s="1" t="str">
        <v>act/pre_if_be</v>
      </c>
      <c r="H7" s="4" t="str">
        <v>ACT/PRE QoS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2"/>
      <c r="B8" s="4" t="str">
        <v>input</v>
      </c>
      <c r="C8" s="3" t="str">
        <v>rdwr_pa_cmd_vld</v>
      </c>
      <c r="D8" s="1">
        <v>1</v>
      </c>
      <c r="E8" s="1" t="str">
        <v>TOP</v>
      </c>
      <c r="F8" s="4" t="str">
        <v>core_clk
</v>
      </c>
      <c r="G8" s="1" t="str">
        <v>rd/wr_if_be</v>
      </c>
      <c r="H8" s="4" t="str">
        <v>command valid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2"/>
      <c r="B9" s="4" t="str">
        <v>output</v>
      </c>
      <c r="C9" s="3" t="str">
        <v>rdwr_pa_cmd_rdy</v>
      </c>
      <c r="D9" s="1">
        <v>1</v>
      </c>
      <c r="E9" s="1" t="str">
        <v>TOP</v>
      </c>
      <c r="F9" s="4" t="str">
        <v>core_clk
</v>
      </c>
      <c r="G9" s="1" t="str">
        <v>rd/wr_if_be</v>
      </c>
      <c r="H9" s="4" t="str">
        <v>load(Load is connected, Grant will be connected if timing could not meet)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2"/>
      <c r="B10" s="4" t="str">
        <v>input</v>
      </c>
      <c r="C10" s="3" t="str">
        <v>rdwr_pa_cmd_type</v>
      </c>
      <c r="D10" s="1">
        <v>2</v>
      </c>
      <c r="E10" s="1" t="str">
        <v>TOP</v>
      </c>
      <c r="F10" s="4" t="str">
        <v>core_clk
</v>
      </c>
      <c r="G10" s="1" t="str">
        <v>rd/wr_if_be</v>
      </c>
      <c r="H10" s="4" t="str">
        <v>command type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2"/>
      <c r="B11" s="4" t="str">
        <v>input</v>
      </c>
      <c r="C11" s="3" t="str">
        <v>rdwr_pa_cmd_hqos</v>
      </c>
      <c r="D11" s="4">
        <v>1</v>
      </c>
      <c r="E11" s="1" t="str">
        <v>TOP</v>
      </c>
      <c r="F11" s="4" t="str">
        <v>core_clk
</v>
      </c>
      <c r="G11" s="1" t="str">
        <v>rd/wr_if_be</v>
      </c>
      <c r="H11" s="4" t="str">
        <v>QoS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customHeight="true" ht="19" r="12">
      <c r="A12" s="2"/>
      <c r="B12" s="4" t="str">
        <v>input</v>
      </c>
      <c r="C12" s="4" t="str">
        <v>preab_req_preall</v>
      </c>
      <c r="D12" s="4">
        <v>1</v>
      </c>
      <c r="E12" s="1" t="str">
        <v>Pre_All</v>
      </c>
      <c r="F12" s="4" t="str">
        <v>core_clk
</v>
      </c>
      <c r="G12" s="1" t="str">
        <v>preall_if</v>
      </c>
      <c r="H12" s="4" t="str">
        <v>preab_req_preall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customHeight="true" ht="19" r="13">
      <c r="A13" s="2"/>
      <c r="B13" s="4" t="str">
        <v>input</v>
      </c>
      <c r="C13" s="4" t="str">
        <v>preab_req_qos_preall</v>
      </c>
      <c r="D13" s="4">
        <v>1</v>
      </c>
      <c r="E13" s="1" t="str">
        <v>Pre_All</v>
      </c>
      <c r="F13" s="4" t="str">
        <v>core_clk
</v>
      </c>
      <c r="G13" s="1" t="str">
        <v>preall_if</v>
      </c>
      <c r="H13" s="4" t="str">
        <v>preab_req_preall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customHeight="true" ht="19" r="14">
      <c r="A14" s="2"/>
      <c r="B14" s="4" t="str">
        <v>output</v>
      </c>
      <c r="C14" s="4" t="str">
        <v>preab_grant_preall</v>
      </c>
      <c r="D14" s="4">
        <v>1</v>
      </c>
      <c r="E14" s="1" t="str">
        <v>Pre_All</v>
      </c>
      <c r="F14" s="4" t="str">
        <v>core_clk
</v>
      </c>
      <c r="G14" s="1" t="str">
        <v>preall_if</v>
      </c>
      <c r="H14" s="4" t="str">
        <v>preab_req_preall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customHeight="true" ht="19" r="15">
      <c r="A15" s="2"/>
      <c r="B15" s="4" t="str">
        <v>input</v>
      </c>
      <c r="C15" s="4" t="str">
        <v>func_req</v>
      </c>
      <c r="D15" s="4">
        <v>1</v>
      </c>
      <c r="E15" s="1" t="str">
        <v>Function_Arbiter</v>
      </c>
      <c r="F15" s="4" t="str">
        <v>core_clk
</v>
      </c>
      <c r="G15" s="1" t="str">
        <v>func_if</v>
      </c>
      <c r="H15" s="4" t="str">
        <v>func_req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customHeight="true" ht="19" r="16">
      <c r="A16" s="2"/>
      <c r="B16" s="4" t="str">
        <v>input</v>
      </c>
      <c r="C16" s="4" t="str">
        <v>func_hqos</v>
      </c>
      <c r="D16" s="4">
        <v>1</v>
      </c>
      <c r="E16" s="1" t="str">
        <v>Function_Arbiter</v>
      </c>
      <c r="F16" s="4" t="str">
        <v>core_clk
</v>
      </c>
      <c r="G16" s="1" t="str">
        <v>func_if</v>
      </c>
      <c r="H16" s="4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customHeight="true" ht="19" r="17">
      <c r="A17" s="2"/>
      <c r="B17" s="4" t="str">
        <v>output</v>
      </c>
      <c r="C17" s="4" t="str">
        <v>func_load</v>
      </c>
      <c r="D17" s="4">
        <v>1</v>
      </c>
      <c r="E17" s="1" t="str">
        <v>Function_Arbiter</v>
      </c>
      <c r="F17" s="4" t="str">
        <v>core_clk
</v>
      </c>
      <c r="G17" s="1" t="str">
        <v>func_if</v>
      </c>
      <c r="H17" s="4" t="str">
        <v>func_load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customHeight="true" ht="19" r="18">
      <c r="A18" s="2"/>
      <c r="B18" s="4" t="str">
        <v>input</v>
      </c>
      <c r="C18" s="4" t="str">
        <v>mrr_zq_high_req</v>
      </c>
      <c r="D18" s="4">
        <v>1</v>
      </c>
      <c r="E18" s="1" t="str">
        <v>Function_Arbiter</v>
      </c>
      <c r="F18" s="4" t="str">
        <v>core_clk
</v>
      </c>
      <c r="G18" s="1" t="str">
        <v>func_if</v>
      </c>
      <c r="H18" s="4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customHeight="true" ht="19" r="19">
      <c r="A19" s="2"/>
      <c r="B19" s="4" t="str">
        <v>input</v>
      </c>
      <c r="C19" s="4" t="str">
        <v>mrr_zq_low_req</v>
      </c>
      <c r="D19" s="4">
        <v>1</v>
      </c>
      <c r="E19" s="1" t="str">
        <v>Function_Arbiter</v>
      </c>
      <c r="F19" s="4" t="str">
        <v>core_clk
</v>
      </c>
      <c r="G19" s="1" t="str">
        <v>func_if</v>
      </c>
      <c r="H19" s="4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customHeight="true" ht="19" r="20">
      <c r="A20" s="2"/>
      <c r="B20" s="4" t="str">
        <v>output</v>
      </c>
      <c r="C20" s="4" t="str">
        <v>mrr_zq_high_load</v>
      </c>
      <c r="D20" s="4">
        <v>1</v>
      </c>
      <c r="E20" s="1" t="str">
        <v>Function_Arbiter</v>
      </c>
      <c r="F20" s="4" t="str">
        <v>core_clk
</v>
      </c>
      <c r="G20" s="1" t="str">
        <v>func_if</v>
      </c>
      <c r="H20" s="4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customHeight="true" ht="19" r="21">
      <c r="A21" s="2"/>
      <c r="B21" s="4" t="str">
        <v>output</v>
      </c>
      <c r="C21" s="4" t="str">
        <v>mrr_zq_low_load</v>
      </c>
      <c r="D21" s="4">
        <v>1</v>
      </c>
      <c r="E21" s="1" t="str">
        <v>Function_Arbiter</v>
      </c>
      <c r="F21" s="4" t="str">
        <v>core_clk
</v>
      </c>
      <c r="G21" s="1" t="str">
        <v>func_if</v>
      </c>
      <c r="H21" s="4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2"/>
      <c r="B22" s="4" t="str">
        <v>input</v>
      </c>
      <c r="C22" s="4" t="str">
        <v>soft_req</v>
      </c>
      <c r="D22" s="4">
        <v>1</v>
      </c>
      <c r="E22" s="1" t="str">
        <v>TOP</v>
      </c>
      <c r="F22" s="4" t="str">
        <v>core_clk
</v>
      </c>
      <c r="G22" s="1" t="str">
        <v>sci_if</v>
      </c>
      <c r="H22" s="4" t="str">
        <v>soft_req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2"/>
      <c r="B23" s="4" t="str">
        <v>output</v>
      </c>
      <c r="C23" s="4" t="str">
        <v>soft_req_grant</v>
      </c>
      <c r="D23" s="4">
        <v>1</v>
      </c>
      <c r="E23" s="1" t="str">
        <v>TOP</v>
      </c>
      <c r="F23" s="4" t="str">
        <v>core_clk
</v>
      </c>
      <c r="G23" s="1" t="str">
        <v>sci_if</v>
      </c>
      <c r="H23" s="4" t="str">
        <v>soft_grant/load(Load is connected, Grant will be connected if timing could not meet)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2"/>
      <c r="B24" s="2" t="str">
        <v>input</v>
      </c>
      <c r="C24" s="1" t="str">
        <v>mask</v>
      </c>
      <c r="D24" s="4">
        <v>1</v>
      </c>
      <c r="E24" s="1" t="str">
        <v>Function_Arbiter</v>
      </c>
      <c r="F24" s="4" t="str">
        <v>core_clk
</v>
      </c>
      <c r="G24" s="2"/>
      <c r="H24" s="2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2"/>
      <c r="B25" s="2" t="str">
        <v>output</v>
      </c>
      <c r="C25" s="1" t="str">
        <v>mrr4_h_grant</v>
      </c>
      <c r="D25" s="1">
        <v>1</v>
      </c>
      <c r="E25" s="1" t="str">
        <v>Function_Arbiter</v>
      </c>
      <c r="F25" s="4" t="str">
        <v>core_clk
</v>
      </c>
      <c r="G25" s="2"/>
      <c r="H25" s="2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2"/>
      <c r="B26" s="2" t="str">
        <v>output</v>
      </c>
      <c r="C26" s="1" t="str">
        <v>ref_ab_h_grant</v>
      </c>
      <c r="D26" s="1">
        <v>1</v>
      </c>
      <c r="E26" s="1" t="str">
        <v>Function_Arbiter</v>
      </c>
      <c r="F26" s="4" t="str">
        <v>core_clk
</v>
      </c>
      <c r="G26" s="2"/>
      <c r="H26" s="2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2"/>
      <c r="B27" s="2" t="str">
        <v>output</v>
      </c>
      <c r="C27" s="1" t="str">
        <v>ref_db_h_grant</v>
      </c>
      <c r="D27" s="1">
        <v>1</v>
      </c>
      <c r="E27" s="1" t="str">
        <v>Function_Arbiter</v>
      </c>
      <c r="F27" s="4" t="str">
        <v>core_clk
</v>
      </c>
      <c r="G27" s="2"/>
      <c r="H27" s="2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2"/>
      <c r="B28" s="2" t="str">
        <v>output</v>
      </c>
      <c r="C28" s="1" t="str">
        <v>rfm_ab_h_grant</v>
      </c>
      <c r="D28" s="1">
        <v>1</v>
      </c>
      <c r="E28" s="1" t="str">
        <v>Function_Arbiter</v>
      </c>
      <c r="F28" s="4" t="str">
        <v>core_clk
</v>
      </c>
      <c r="G28" s="2"/>
      <c r="H28" s="2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2"/>
      <c r="B29" s="2" t="str">
        <v>output</v>
      </c>
      <c r="C29" s="1" t="str">
        <v>rfm_ab_h_grant</v>
      </c>
      <c r="D29" s="1">
        <v>1</v>
      </c>
      <c r="E29" s="1" t="str">
        <v>Function_Arbiter</v>
      </c>
      <c r="F29" s="4" t="str">
        <v>core_clk
</v>
      </c>
      <c r="G29" s="2"/>
      <c r="H29" s="2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2"/>
      <c r="B30" s="2" t="str">
        <v>output</v>
      </c>
      <c r="C30" s="1" t="str">
        <v>pim_h_grant</v>
      </c>
      <c r="D30" s="1">
        <v>1</v>
      </c>
      <c r="E30" s="1" t="str">
        <v>Function_Arbiter</v>
      </c>
      <c r="F30" s="4" t="str">
        <v>core_clk
</v>
      </c>
      <c r="G30" s="2"/>
      <c r="H30" s="2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>
      <c r="A31" s="2"/>
      <c r="B31" s="2" t="str">
        <v>input</v>
      </c>
      <c r="C31" s="1" t="str">
        <v>pdx_lp_load_rank</v>
      </c>
      <c r="D31" s="1">
        <v>1</v>
      </c>
      <c r="E31" s="1" t="str">
        <v>Function_Arbiter</v>
      </c>
      <c r="F31" s="4" t="str">
        <v>core_clk
</v>
      </c>
      <c r="G31" s="2"/>
      <c r="H31" s="2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2"/>
      <c r="B32" s="2" t="str">
        <v>input</v>
      </c>
      <c r="C32" s="1" t="str">
        <v>cas_off_lp_load_rank</v>
      </c>
      <c r="D32" s="1">
        <v>1</v>
      </c>
      <c r="E32" s="1" t="str">
        <v>Function_Arbiter</v>
      </c>
      <c r="F32" s="4" t="str">
        <v>core_clk
</v>
      </c>
      <c r="G32" s="2"/>
      <c r="H32" s="2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2"/>
      <c r="B33" s="2" t="str">
        <v>input</v>
      </c>
      <c r="C33" s="1" t="str">
        <v>mrr4_load_h</v>
      </c>
      <c r="D33" s="1">
        <v>1</v>
      </c>
      <c r="E33" s="1" t="str">
        <v>Function_Arbiter</v>
      </c>
      <c r="F33" s="4" t="str">
        <v>core_clk
</v>
      </c>
      <c r="G33" s="2"/>
      <c r="H33" s="2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2"/>
      <c r="B34" s="2" t="str">
        <v>input</v>
      </c>
      <c r="C34" s="1" t="str">
        <v>refab_load_ref_h</v>
      </c>
      <c r="D34" s="1">
        <v>1</v>
      </c>
      <c r="E34" s="1" t="str">
        <v>Function_Arbiter</v>
      </c>
      <c r="F34" s="4" t="str">
        <v>core_clk
</v>
      </c>
      <c r="G34" s="2"/>
      <c r="H34" s="2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A35" s="2"/>
      <c r="B35" s="2" t="str">
        <v>input</v>
      </c>
      <c r="C35" s="1" t="str">
        <v>refdb_load_ref_h</v>
      </c>
      <c r="D35" s="1">
        <v>1</v>
      </c>
      <c r="E35" s="1" t="str">
        <v>Function_Arbiter</v>
      </c>
      <c r="F35" s="4" t="str">
        <v>core_clk
</v>
      </c>
      <c r="G35" s="2"/>
      <c r="H35" s="2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2"/>
      <c r="B36" s="2" t="str">
        <v>input</v>
      </c>
      <c r="C36" s="1" t="str">
        <v>rfmab_load_ref_h</v>
      </c>
      <c r="D36" s="1">
        <v>1</v>
      </c>
      <c r="E36" s="1" t="str">
        <v>Function_Arbiter</v>
      </c>
      <c r="F36" s="4" t="str">
        <v>core_clk
</v>
      </c>
      <c r="G36" s="2"/>
      <c r="H36" s="2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2"/>
      <c r="B37" s="2" t="str">
        <v>input</v>
      </c>
      <c r="C37" s="1" t="str">
        <v>rfmpb_load_ref_h</v>
      </c>
      <c r="D37" s="1">
        <v>1</v>
      </c>
      <c r="E37" s="1" t="str">
        <v>Function_Arbiter</v>
      </c>
      <c r="F37" s="4" t="str">
        <v>core_clk
</v>
      </c>
      <c r="G37" s="2"/>
      <c r="H37" s="2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>
      <c r="A38" s="2"/>
      <c r="B38" s="2" t="str">
        <v>input</v>
      </c>
      <c r="C38" s="1" t="str">
        <v>mrrx_load_h</v>
      </c>
      <c r="D38" s="1">
        <v>1</v>
      </c>
      <c r="E38" s="1" t="str">
        <v>Function_Arbiter</v>
      </c>
      <c r="F38" s="4" t="str">
        <v>core_clk
</v>
      </c>
      <c r="G38" s="2"/>
      <c r="H38" s="2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>
      <c r="A39" s="2"/>
      <c r="B39" s="2" t="str">
        <v>input</v>
      </c>
      <c r="C39" s="1" t="str">
        <v>zq_load_h</v>
      </c>
      <c r="D39" s="1">
        <v>1</v>
      </c>
      <c r="E39" s="1" t="str">
        <v>Function_Arbiter</v>
      </c>
      <c r="F39" s="4" t="str">
        <v>core_clk
</v>
      </c>
      <c r="G39" s="2"/>
      <c r="H39" s="2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>
      <c r="A40" s="2"/>
      <c r="B40" s="2" t="str">
        <v>input</v>
      </c>
      <c r="C40" s="1" t="str">
        <v>func_type_pre_sb</v>
      </c>
      <c r="D40" s="1">
        <v>1</v>
      </c>
      <c r="E40" s="1" t="str">
        <v>Function_Arbiter</v>
      </c>
      <c r="F40" s="4" t="str">
        <v>core_clk
</v>
      </c>
      <c r="G40" s="2"/>
      <c r="H40" s="2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>
      <c r="A41" s="2"/>
      <c r="B41" s="2" t="str">
        <v>input</v>
      </c>
      <c r="C41" s="1" t="str">
        <v>clk_en</v>
      </c>
      <c r="D41" s="1">
        <v>1</v>
      </c>
      <c r="E41" s="1" t="str">
        <v>TOP</v>
      </c>
      <c r="F41" s="4" t="str">
        <v>core_clk
</v>
      </c>
      <c r="G41" s="2"/>
      <c r="H41" s="2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>
      <c r="A42" s="2"/>
      <c r="B42" s="2" t="str">
        <v>input</v>
      </c>
      <c r="C42" s="1" t="str">
        <v>prepb_req_bank_ref</v>
      </c>
      <c r="D42" s="4" t="str">
        <v>DDRC_SCRKBGBK_WIDTH*RK_NUM*SC_NUM</v>
      </c>
      <c r="E42" s="1" t="str">
        <v>TOP</v>
      </c>
      <c r="F42" s="4" t="str">
        <v>core_clk
</v>
      </c>
      <c r="G42" s="2"/>
      <c r="H42" s="2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>
      <c r="A43" s="2"/>
      <c r="B43" s="2" t="str">
        <v>output</v>
      </c>
      <c r="C43" s="1" t="str">
        <v>pre_gnt_be</v>
      </c>
      <c r="D43" s="1">
        <v>1</v>
      </c>
      <c r="E43" s="1" t="str">
        <v>TOP</v>
      </c>
      <c r="F43" s="4" t="str">
        <v>core_clk
</v>
      </c>
      <c r="G43" s="2"/>
      <c r="H43" s="2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>
      <c r="A44" s="2"/>
      <c r="B44" s="2" t="str">
        <v>output</v>
      </c>
      <c r="C44" s="1" t="str">
        <v>pre_gnt_type_be</v>
      </c>
      <c r="D44" s="1">
        <v>1</v>
      </c>
      <c r="E44" s="1" t="str">
        <v>TOP</v>
      </c>
      <c r="F44" s="4" t="str">
        <v>core_clk
</v>
      </c>
      <c r="G44" s="2"/>
      <c r="H44" s="2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>
      <c r="A45" s="2"/>
      <c r="B45" s="2" t="str">
        <v>output</v>
      </c>
      <c r="C45" s="1" t="str">
        <v>pre_gnt_bank_be</v>
      </c>
      <c r="D45" s="1" t="str">
        <v>[DDRC_SCRKBGBK_WIDTH-1:0]</v>
      </c>
      <c r="E45" s="1" t="str">
        <v>TOP</v>
      </c>
      <c r="F45" s="4" t="str">
        <v>core_clk
</v>
      </c>
      <c r="G45" s="2"/>
      <c r="H45" s="2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>
      <c r="A46" s="2"/>
      <c r="B46" s="2"/>
      <c r="C46" s="1"/>
      <c r="D46" s="1"/>
      <c r="E46" s="2"/>
      <c r="F46" s="2"/>
      <c r="G46" s="2"/>
      <c r="H46" s="2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>
      <c r="A47" s="2"/>
      <c r="B47" s="2"/>
      <c r="C47" s="1"/>
      <c r="D47" s="1"/>
      <c r="E47" s="2"/>
      <c r="F47" s="2"/>
      <c r="G47" s="2"/>
      <c r="H47" s="2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>
      <c r="A48" s="2"/>
      <c r="B48" s="2"/>
      <c r="C48" s="1"/>
      <c r="D48" s="1"/>
      <c r="E48" s="2"/>
      <c r="F48" s="2"/>
      <c r="G48" s="2"/>
      <c r="H48" s="2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>
      <c r="A49" s="2"/>
      <c r="B49" s="2"/>
      <c r="C49" s="1"/>
      <c r="D49" s="1"/>
      <c r="E49" s="2"/>
      <c r="F49" s="2"/>
      <c r="G49" s="2"/>
      <c r="H49" s="2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>
      <c r="A50" s="2"/>
      <c r="B50" s="2"/>
      <c r="C50" s="1"/>
      <c r="D50" s="1"/>
      <c r="E50" s="2"/>
      <c r="F50" s="2"/>
      <c r="G50" s="2"/>
      <c r="H50" s="2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>
      <c r="A51" s="2"/>
      <c r="B51" s="2"/>
      <c r="C51" s="1"/>
      <c r="D51" s="1"/>
      <c r="E51" s="2"/>
      <c r="F51" s="2"/>
      <c r="G51" s="2"/>
      <c r="H51" s="2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>
      <c r="A52" s="2"/>
      <c r="B52" s="2"/>
      <c r="C52" s="1"/>
      <c r="D52" s="1"/>
      <c r="E52" s="2"/>
      <c r="F52" s="2"/>
      <c r="G52" s="2"/>
      <c r="H52" s="2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>
      <c r="A53" s="2"/>
      <c r="B53" s="2"/>
      <c r="C53" s="1"/>
      <c r="D53" s="1"/>
      <c r="E53" s="2"/>
      <c r="F53" s="2"/>
      <c r="G53" s="2"/>
      <c r="H53" s="2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>
      <c r="A54" s="2"/>
      <c r="B54" s="2"/>
      <c r="C54" s="1"/>
      <c r="D54" s="1"/>
      <c r="E54" s="2"/>
      <c r="F54" s="2"/>
      <c r="G54" s="2"/>
      <c r="H54" s="2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>
      <c r="A55" s="2"/>
      <c r="B55" s="2"/>
      <c r="C55" s="1"/>
      <c r="D55" s="1"/>
      <c r="E55" s="2"/>
      <c r="F55" s="2"/>
      <c r="G55" s="2"/>
      <c r="H55" s="2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>
      <c r="A56" s="2"/>
      <c r="B56" s="2"/>
      <c r="C56" s="1"/>
      <c r="D56" s="1"/>
      <c r="E56" s="2"/>
      <c r="F56" s="2"/>
      <c r="G56" s="2"/>
      <c r="H56" s="2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>
      <c r="A57" s="2"/>
      <c r="B57" s="2"/>
      <c r="C57" s="1"/>
      <c r="D57" s="1"/>
      <c r="E57" s="2"/>
      <c r="F57" s="2"/>
      <c r="G57" s="2"/>
      <c r="H57" s="2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>
      <c r="A58" s="2"/>
      <c r="B58" s="2"/>
      <c r="C58" s="1"/>
      <c r="D58" s="1"/>
      <c r="E58" s="2"/>
      <c r="F58" s="2"/>
      <c r="G58" s="2"/>
      <c r="H58" s="2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>
      <c r="A59" s="2"/>
      <c r="B59" s="2"/>
      <c r="C59" s="1"/>
      <c r="D59" s="1"/>
      <c r="E59" s="2"/>
      <c r="F59" s="2"/>
      <c r="G59" s="2"/>
      <c r="H59" s="2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>
      <c r="A60" s="2"/>
      <c r="B60" s="2"/>
      <c r="C60" s="1"/>
      <c r="D60" s="1"/>
      <c r="E60" s="2"/>
      <c r="F60" s="2"/>
      <c r="G60" s="2"/>
      <c r="H60" s="2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>
      <c r="A61" s="2"/>
      <c r="B61" s="2"/>
      <c r="C61" s="1"/>
      <c r="D61" s="1"/>
      <c r="E61" s="2"/>
      <c r="F61" s="2"/>
      <c r="G61" s="2"/>
      <c r="H61" s="2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>
      <c r="A62" s="2"/>
      <c r="B62" s="2"/>
      <c r="C62" s="1"/>
      <c r="D62" s="1"/>
      <c r="E62" s="2"/>
      <c r="F62" s="2"/>
      <c r="G62" s="2"/>
      <c r="H62" s="2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>
      <c r="A63" s="2"/>
      <c r="B63" s="2"/>
      <c r="C63" s="1"/>
      <c r="D63" s="1"/>
      <c r="E63" s="2"/>
      <c r="F63" s="2"/>
      <c r="G63" s="2"/>
      <c r="H63" s="2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>
      <c r="A64" s="2"/>
      <c r="B64" s="2"/>
      <c r="C64" s="1"/>
      <c r="D64" s="1"/>
      <c r="E64" s="2"/>
      <c r="F64" s="2"/>
      <c r="G64" s="2"/>
      <c r="H64" s="2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>
      <c r="A65" s="2"/>
      <c r="B65" s="2"/>
      <c r="C65" s="1"/>
      <c r="D65" s="1"/>
      <c r="E65" s="2"/>
      <c r="F65" s="2"/>
      <c r="G65" s="2"/>
      <c r="H65" s="2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>
      <c r="A66" s="2"/>
      <c r="B66" s="2"/>
      <c r="C66" s="1"/>
      <c r="D66" s="1"/>
      <c r="E66" s="2"/>
      <c r="F66" s="2"/>
      <c r="G66" s="2"/>
      <c r="H66" s="2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>
      <c r="A67" s="2"/>
      <c r="B67" s="2"/>
      <c r="C67" s="1"/>
      <c r="D67" s="1"/>
      <c r="E67" s="2"/>
      <c r="F67" s="2"/>
      <c r="G67" s="2"/>
      <c r="H67" s="2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>
      <c r="A68" s="2"/>
      <c r="B68" s="2"/>
      <c r="C68" s="1"/>
      <c r="D68" s="1"/>
      <c r="E68" s="2"/>
      <c r="F68" s="2"/>
      <c r="G68" s="2"/>
      <c r="H68" s="2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>
      <c r="A69" s="2"/>
      <c r="B69" s="2"/>
      <c r="C69" s="1"/>
      <c r="D69" s="1"/>
      <c r="E69" s="2"/>
      <c r="F69" s="2"/>
      <c r="G69" s="2"/>
      <c r="H69" s="2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>
      <c r="A70" s="2"/>
      <c r="B70" s="2"/>
      <c r="C70" s="1"/>
      <c r="D70" s="1"/>
      <c r="E70" s="2"/>
      <c r="F70" s="2"/>
      <c r="G70" s="2"/>
      <c r="H70" s="2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>
      <c r="A71" s="2"/>
      <c r="B71" s="2"/>
      <c r="C71" s="1"/>
      <c r="D71" s="1"/>
      <c r="E71" s="2"/>
      <c r="F71" s="2"/>
      <c r="G71" s="2"/>
      <c r="H71" s="2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>
      <c r="A72" s="2"/>
      <c r="B72" s="2"/>
      <c r="C72" s="1"/>
      <c r="D72" s="1"/>
      <c r="E72" s="2"/>
      <c r="F72" s="2"/>
      <c r="G72" s="2"/>
      <c r="H72" s="2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>
      <c r="A73" s="2"/>
      <c r="B73" s="2"/>
      <c r="C73" s="1"/>
      <c r="D73" s="1"/>
      <c r="E73" s="2"/>
      <c r="F73" s="2"/>
      <c r="G73" s="2"/>
      <c r="H73" s="2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>
      <c r="A74" s="2"/>
      <c r="B74" s="2"/>
      <c r="C74" s="1"/>
      <c r="D74" s="1"/>
      <c r="E74" s="2"/>
      <c r="F74" s="2"/>
      <c r="G74" s="2"/>
      <c r="H74" s="2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>
      <c r="A75" s="2"/>
      <c r="B75" s="2"/>
      <c r="C75" s="1"/>
      <c r="D75" s="1"/>
      <c r="E75" s="2"/>
      <c r="F75" s="2"/>
      <c r="G75" s="2"/>
      <c r="H75" s="2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>
      <c r="A76" s="2"/>
      <c r="B76" s="2"/>
      <c r="C76" s="1"/>
      <c r="D76" s="1"/>
      <c r="E76" s="2"/>
      <c r="F76" s="2"/>
      <c r="G76" s="2"/>
      <c r="H76" s="2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>
      <c r="A77" s="2"/>
      <c r="B77" s="2"/>
      <c r="C77" s="1"/>
      <c r="D77" s="1"/>
      <c r="E77" s="2"/>
      <c r="F77" s="2"/>
      <c r="G77" s="2"/>
      <c r="H77" s="2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>
      <c r="A78" s="2"/>
      <c r="B78" s="2"/>
      <c r="C78" s="1"/>
      <c r="D78" s="1"/>
      <c r="E78" s="2"/>
      <c r="F78" s="2"/>
      <c r="G78" s="2"/>
      <c r="H78" s="2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>
      <c r="A79" s="2"/>
      <c r="B79" s="2"/>
      <c r="C79" s="1"/>
      <c r="D79" s="1"/>
      <c r="E79" s="2"/>
      <c r="F79" s="2"/>
      <c r="G79" s="2"/>
      <c r="H79" s="2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>
      <c r="A80" s="2"/>
      <c r="B80" s="2"/>
      <c r="C80" s="1"/>
      <c r="D80" s="1"/>
      <c r="E80" s="2"/>
      <c r="F80" s="2"/>
      <c r="G80" s="2"/>
      <c r="H80" s="2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>
      <c r="A81" s="2"/>
      <c r="B81" s="2"/>
      <c r="C81" s="1"/>
      <c r="D81" s="1"/>
      <c r="E81" s="2"/>
      <c r="F81" s="2"/>
      <c r="G81" s="2"/>
      <c r="H81" s="2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>
      <c r="A82" s="2"/>
      <c r="B82" s="2"/>
      <c r="C82" s="1"/>
      <c r="D82" s="1"/>
      <c r="E82" s="2"/>
      <c r="F82" s="2"/>
      <c r="G82" s="2"/>
      <c r="H82" s="2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>
      <c r="A83" s="2"/>
      <c r="B83" s="2"/>
      <c r="C83" s="1"/>
      <c r="D83" s="1"/>
      <c r="E83" s="2"/>
      <c r="F83" s="2"/>
      <c r="G83" s="2"/>
      <c r="H83" s="2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>
      <c r="A84" s="2"/>
      <c r="B84" s="2"/>
      <c r="C84" s="1"/>
      <c r="D84" s="1"/>
      <c r="E84" s="2"/>
      <c r="F84" s="2"/>
      <c r="G84" s="2"/>
      <c r="H84" s="2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>
      <c r="A85" s="2"/>
      <c r="B85" s="2"/>
      <c r="C85" s="1"/>
      <c r="D85" s="1"/>
      <c r="E85" s="2"/>
      <c r="F85" s="2"/>
      <c r="G85" s="2"/>
      <c r="H85" s="2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>
      <c r="A86" s="2"/>
      <c r="B86" s="2"/>
      <c r="C86" s="1"/>
      <c r="D86" s="1"/>
      <c r="E86" s="2"/>
      <c r="F86" s="2"/>
      <c r="G86" s="2"/>
      <c r="H86" s="2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>
      <c r="A87" s="2"/>
      <c r="B87" s="2"/>
      <c r="C87" s="1"/>
      <c r="D87" s="1"/>
      <c r="E87" s="2"/>
      <c r="F87" s="2"/>
      <c r="G87" s="2"/>
      <c r="H87" s="2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>
      <c r="A88" s="2"/>
      <c r="B88" s="2"/>
      <c r="C88" s="1"/>
      <c r="D88" s="1"/>
      <c r="E88" s="2"/>
      <c r="F88" s="2"/>
      <c r="G88" s="2"/>
      <c r="H88" s="2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>
      <c r="A89" s="2"/>
      <c r="B89" s="2"/>
      <c r="C89" s="1"/>
      <c r="D89" s="1"/>
      <c r="E89" s="2"/>
      <c r="F89" s="2"/>
      <c r="G89" s="2"/>
      <c r="H89" s="2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>
      <c r="A90" s="2"/>
      <c r="B90" s="2"/>
      <c r="C90" s="1"/>
      <c r="D90" s="1"/>
      <c r="E90" s="2"/>
      <c r="F90" s="2"/>
      <c r="G90" s="2"/>
      <c r="H90" s="2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>
      <c r="A91" s="2"/>
      <c r="B91" s="2"/>
      <c r="C91" s="1"/>
      <c r="D91" s="1"/>
      <c r="E91" s="2"/>
      <c r="F91" s="2"/>
      <c r="G91" s="2"/>
      <c r="H91" s="2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>
      <c r="A92" s="2"/>
      <c r="B92" s="2"/>
      <c r="C92" s="1"/>
      <c r="D92" s="1"/>
      <c r="E92" s="2"/>
      <c r="F92" s="2"/>
      <c r="G92" s="2"/>
      <c r="H92" s="2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>
      <c r="A93" s="2"/>
      <c r="B93" s="2"/>
      <c r="C93" s="1"/>
      <c r="D93" s="1"/>
      <c r="E93" s="2"/>
      <c r="F93" s="2"/>
      <c r="G93" s="2"/>
      <c r="H93" s="2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>
      <c r="A94" s="2"/>
      <c r="B94" s="2"/>
      <c r="C94" s="1"/>
      <c r="D94" s="1"/>
      <c r="E94" s="2"/>
      <c r="F94" s="2"/>
      <c r="G94" s="2"/>
      <c r="H94" s="2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>
      <c r="A95" s="2"/>
      <c r="B95" s="2"/>
      <c r="C95" s="1"/>
      <c r="D95" s="1"/>
      <c r="E95" s="2"/>
      <c r="F95" s="2"/>
      <c r="G95" s="2"/>
      <c r="H95" s="2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>
      <c r="A96" s="2"/>
      <c r="B96" s="2"/>
      <c r="C96" s="1"/>
      <c r="D96" s="1"/>
      <c r="E96" s="2"/>
      <c r="F96" s="2"/>
      <c r="G96" s="2"/>
      <c r="H96" s="2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>
      <c r="A97" s="2"/>
      <c r="B97" s="2"/>
      <c r="C97" s="1"/>
      <c r="D97" s="1"/>
      <c r="E97" s="2"/>
      <c r="F97" s="2"/>
      <c r="G97" s="2"/>
      <c r="H97" s="2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>
      <c r="A98" s="2"/>
      <c r="B98" s="2"/>
      <c r="C98" s="1"/>
      <c r="D98" s="1"/>
      <c r="E98" s="2"/>
      <c r="F98" s="2"/>
      <c r="G98" s="2"/>
      <c r="H98" s="2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>
      <c r="A99" s="2"/>
      <c r="B99" s="2"/>
      <c r="C99" s="1"/>
      <c r="D99" s="1"/>
      <c r="E99" s="2"/>
      <c r="F99" s="2"/>
      <c r="G99" s="2"/>
      <c r="H99" s="2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>
      <c r="A100" s="2"/>
      <c r="B100" s="2"/>
      <c r="C100" s="1"/>
      <c r="D100" s="1"/>
      <c r="E100" s="2"/>
      <c r="F100" s="2"/>
      <c r="G100" s="2"/>
      <c r="H100" s="2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>
      <c r="A101" s="2"/>
      <c r="B101" s="2"/>
      <c r="C101" s="1"/>
      <c r="D101" s="1"/>
      <c r="E101" s="2"/>
      <c r="F101" s="2"/>
      <c r="G101" s="2"/>
      <c r="H101" s="2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>
      <c r="A102" s="2"/>
      <c r="B102" s="2"/>
      <c r="C102" s="1"/>
      <c r="D102" s="1"/>
      <c r="E102" s="2"/>
      <c r="F102" s="2"/>
      <c r="G102" s="2"/>
      <c r="H102" s="2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>
      <c r="A103" s="2"/>
      <c r="B103" s="2"/>
      <c r="C103" s="1"/>
      <c r="D103" s="1"/>
      <c r="E103" s="2"/>
      <c r="F103" s="2"/>
      <c r="G103" s="2"/>
      <c r="H103" s="2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>
      <c r="A104" s="2"/>
      <c r="B104" s="2"/>
      <c r="C104" s="1"/>
      <c r="D104" s="1"/>
      <c r="E104" s="2"/>
      <c r="F104" s="2"/>
      <c r="G104" s="2"/>
      <c r="H104" s="2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>
      <c r="A105" s="2"/>
      <c r="B105" s="2"/>
      <c r="C105" s="1"/>
      <c r="D105" s="1"/>
      <c r="E105" s="2"/>
      <c r="F105" s="2"/>
      <c r="G105" s="2"/>
      <c r="H105" s="2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>
      <c r="A106" s="2"/>
      <c r="B106" s="2"/>
      <c r="C106" s="1"/>
      <c r="D106" s="1"/>
      <c r="E106" s="2"/>
      <c r="F106" s="2"/>
      <c r="G106" s="2"/>
      <c r="H106" s="2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>
      <c r="A107" s="2"/>
      <c r="B107" s="2"/>
      <c r="C107" s="1"/>
      <c r="D107" s="1"/>
      <c r="E107" s="2"/>
      <c r="F107" s="2"/>
      <c r="G107" s="2"/>
      <c r="H107" s="2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>
      <c r="A108" s="2"/>
      <c r="B108" s="2"/>
      <c r="C108" s="1"/>
      <c r="D108" s="1"/>
      <c r="E108" s="2"/>
      <c r="F108" s="2"/>
      <c r="G108" s="2"/>
      <c r="H108" s="2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>
      <c r="A109" s="2"/>
      <c r="B109" s="2"/>
      <c r="C109" s="1"/>
      <c r="D109" s="1"/>
      <c r="E109" s="2"/>
      <c r="F109" s="2"/>
      <c r="G109" s="2"/>
      <c r="H109" s="2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>
      <c r="A110" s="2"/>
      <c r="B110" s="2"/>
      <c r="C110" s="1"/>
      <c r="D110" s="1"/>
      <c r="E110" s="2"/>
      <c r="F110" s="2"/>
      <c r="G110" s="2"/>
      <c r="H110" s="2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>
      <c r="A111" s="2"/>
      <c r="B111" s="2"/>
      <c r="C111" s="1"/>
      <c r="D111" s="1"/>
      <c r="E111" s="2"/>
      <c r="F111" s="2"/>
      <c r="G111" s="2"/>
      <c r="H111" s="2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>
      <c r="A112" s="2"/>
      <c r="B112" s="2"/>
      <c r="C112" s="1"/>
      <c r="D112" s="1"/>
      <c r="E112" s="2"/>
      <c r="F112" s="2"/>
      <c r="G112" s="2"/>
      <c r="H112" s="2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>
      <c r="A113" s="2"/>
      <c r="B113" s="2"/>
      <c r="C113" s="1"/>
      <c r="D113" s="1"/>
      <c r="E113" s="2"/>
      <c r="F113" s="2"/>
      <c r="G113" s="2"/>
      <c r="H113" s="2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>
      <c r="A114" s="2"/>
      <c r="B114" s="2"/>
      <c r="C114" s="1"/>
      <c r="D114" s="1"/>
      <c r="E114" s="2"/>
      <c r="F114" s="2"/>
      <c r="G114" s="2"/>
      <c r="H114" s="2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>
      <c r="A115" s="2"/>
      <c r="B115" s="2"/>
      <c r="C115" s="1"/>
      <c r="D115" s="1"/>
      <c r="E115" s="2"/>
      <c r="F115" s="2"/>
      <c r="G115" s="2"/>
      <c r="H115" s="2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>
      <c r="A116" s="2"/>
      <c r="B116" s="2"/>
      <c r="C116" s="1"/>
      <c r="D116" s="1"/>
      <c r="E116" s="2"/>
      <c r="F116" s="2"/>
      <c r="G116" s="2"/>
      <c r="H116" s="2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>
      <c r="A117" s="2"/>
      <c r="B117" s="2"/>
      <c r="C117" s="1"/>
      <c r="D117" s="1"/>
      <c r="E117" s="2"/>
      <c r="F117" s="2"/>
      <c r="G117" s="2"/>
      <c r="H117" s="2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>
      <c r="A118" s="2"/>
      <c r="B118" s="2"/>
      <c r="C118" s="1"/>
      <c r="D118" s="1"/>
      <c r="E118" s="2"/>
      <c r="F118" s="2"/>
      <c r="G118" s="2"/>
      <c r="H118" s="2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>
      <c r="A119" s="2"/>
      <c r="B119" s="2"/>
      <c r="C119" s="1"/>
      <c r="D119" s="1"/>
      <c r="E119" s="2"/>
      <c r="F119" s="2"/>
      <c r="G119" s="2"/>
      <c r="H119" s="2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>
      <c r="A120" s="2"/>
      <c r="B120" s="2"/>
      <c r="C120" s="1"/>
      <c r="D120" s="1"/>
      <c r="E120" s="2"/>
      <c r="F120" s="2"/>
      <c r="G120" s="2"/>
      <c r="H120" s="2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>
      <c r="A121" s="2"/>
      <c r="B121" s="2"/>
      <c r="C121" s="1"/>
      <c r="D121" s="1"/>
      <c r="E121" s="2"/>
      <c r="F121" s="2"/>
      <c r="G121" s="2"/>
      <c r="H121" s="2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>
      <c r="A122" s="2"/>
      <c r="B122" s="2"/>
      <c r="C122" s="1"/>
      <c r="D122" s="1"/>
      <c r="E122" s="2"/>
      <c r="F122" s="2"/>
      <c r="G122" s="2"/>
      <c r="H122" s="2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>
      <c r="A123" s="2"/>
      <c r="B123" s="2"/>
      <c r="C123" s="1"/>
      <c r="D123" s="1"/>
      <c r="E123" s="2"/>
      <c r="F123" s="2"/>
      <c r="G123" s="2"/>
      <c r="H123" s="2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>
      <c r="A124" s="2"/>
      <c r="B124" s="2"/>
      <c r="C124" s="1"/>
      <c r="D124" s="1"/>
      <c r="E124" s="2"/>
      <c r="F124" s="2"/>
      <c r="G124" s="2"/>
      <c r="H124" s="2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>
      <c r="A125" s="2"/>
      <c r="B125" s="2"/>
      <c r="C125" s="1"/>
      <c r="D125" s="1"/>
      <c r="E125" s="2"/>
      <c r="F125" s="2"/>
      <c r="G125" s="2"/>
      <c r="H125" s="2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>
      <c r="A126" s="2"/>
      <c r="B126" s="2"/>
      <c r="C126" s="1"/>
      <c r="D126" s="1"/>
      <c r="E126" s="2"/>
      <c r="F126" s="2"/>
      <c r="G126" s="2"/>
      <c r="H126" s="2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>
      <c r="A127" s="2"/>
      <c r="B127" s="2"/>
      <c r="C127" s="1"/>
      <c r="D127" s="1"/>
      <c r="E127" s="2"/>
      <c r="F127" s="2"/>
      <c r="G127" s="2"/>
      <c r="H127" s="2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>
      <c r="A128" s="2"/>
      <c r="B128" s="2"/>
      <c r="C128" s="1"/>
      <c r="D128" s="1"/>
      <c r="E128" s="2"/>
      <c r="F128" s="2"/>
      <c r="G128" s="2"/>
      <c r="H128" s="2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>
      <c r="A129" s="2"/>
      <c r="B129" s="2"/>
      <c r="C129" s="1"/>
      <c r="D129" s="1"/>
      <c r="E129" s="2"/>
      <c r="F129" s="2"/>
      <c r="G129" s="2"/>
      <c r="H129" s="2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>
      <c r="A130" s="2"/>
      <c r="B130" s="2"/>
      <c r="C130" s="1"/>
      <c r="D130" s="1"/>
      <c r="E130" s="2"/>
      <c r="F130" s="2"/>
      <c r="G130" s="2"/>
      <c r="H130" s="2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>
      <c r="A131" s="2"/>
      <c r="B131" s="2"/>
      <c r="C131" s="1"/>
      <c r="D131" s="1"/>
      <c r="E131" s="2"/>
      <c r="F131" s="2"/>
      <c r="G131" s="2"/>
      <c r="H131" s="2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>
      <c r="A132" s="2"/>
      <c r="B132" s="2"/>
      <c r="C132" s="1"/>
      <c r="D132" s="1"/>
      <c r="E132" s="2"/>
      <c r="F132" s="2"/>
      <c r="G132" s="2"/>
      <c r="H132" s="2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>
      <c r="A133" s="2"/>
      <c r="B133" s="2"/>
      <c r="C133" s="1"/>
      <c r="D133" s="1"/>
      <c r="E133" s="2"/>
      <c r="F133" s="2"/>
      <c r="G133" s="2"/>
      <c r="H133" s="2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>
      <c r="A134" s="2"/>
      <c r="B134" s="2"/>
      <c r="C134" s="1"/>
      <c r="D134" s="1"/>
      <c r="E134" s="2"/>
      <c r="F134" s="2"/>
      <c r="G134" s="2"/>
      <c r="H134" s="2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>
      <c r="A135" s="2"/>
      <c r="B135" s="2"/>
      <c r="C135" s="1"/>
      <c r="D135" s="1"/>
      <c r="E135" s="2"/>
      <c r="F135" s="2"/>
      <c r="G135" s="2"/>
      <c r="H135" s="2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>
      <c r="A136" s="2"/>
      <c r="B136" s="2"/>
      <c r="C136" s="1"/>
      <c r="D136" s="1"/>
      <c r="E136" s="2"/>
      <c r="F136" s="2"/>
      <c r="G136" s="2"/>
      <c r="H136" s="2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>
      <c r="A137" s="2"/>
      <c r="B137" s="2"/>
      <c r="C137" s="1"/>
      <c r="D137" s="1"/>
      <c r="E137" s="2"/>
      <c r="F137" s="2"/>
      <c r="G137" s="2"/>
      <c r="H137" s="2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>
      <c r="A138" s="2"/>
      <c r="B138" s="2"/>
      <c r="C138" s="1"/>
      <c r="D138" s="1"/>
      <c r="E138" s="2"/>
      <c r="F138" s="2"/>
      <c r="G138" s="2"/>
      <c r="H138" s="2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>
      <c r="A139" s="2"/>
      <c r="B139" s="2"/>
      <c r="C139" s="1"/>
      <c r="D139" s="1"/>
      <c r="E139" s="2"/>
      <c r="F139" s="2"/>
      <c r="G139" s="2"/>
      <c r="H139" s="2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>
      <c r="A140" s="2"/>
      <c r="B140" s="2"/>
      <c r="C140" s="1"/>
      <c r="D140" s="1"/>
      <c r="E140" s="2"/>
      <c r="F140" s="2"/>
      <c r="G140" s="2"/>
      <c r="H140" s="2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>
      <c r="A141" s="2"/>
      <c r="B141" s="2"/>
      <c r="C141" s="1"/>
      <c r="D141" s="1"/>
      <c r="E141" s="2"/>
      <c r="F141" s="2"/>
      <c r="G141" s="2"/>
      <c r="H141" s="2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>
      <c r="A142" s="2"/>
      <c r="B142" s="2"/>
      <c r="C142" s="1"/>
      <c r="D142" s="1"/>
      <c r="E142" s="2"/>
      <c r="F142" s="2"/>
      <c r="G142" s="2"/>
      <c r="H142" s="2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>
      <c r="A143" s="2"/>
      <c r="B143" s="2"/>
      <c r="C143" s="1"/>
      <c r="D143" s="1"/>
      <c r="E143" s="2"/>
      <c r="F143" s="2"/>
      <c r="G143" s="2"/>
      <c r="H143" s="2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>
      <c r="A144" s="2"/>
      <c r="B144" s="2"/>
      <c r="C144" s="1"/>
      <c r="D144" s="1"/>
      <c r="E144" s="2"/>
      <c r="F144" s="2"/>
      <c r="G144" s="2"/>
      <c r="H144" s="2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>
      <c r="A145" s="2"/>
      <c r="B145" s="2"/>
      <c r="C145" s="1"/>
      <c r="D145" s="1"/>
      <c r="E145" s="2"/>
      <c r="F145" s="2"/>
      <c r="G145" s="2"/>
      <c r="H145" s="2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>
      <c r="A146" s="2"/>
      <c r="B146" s="2"/>
      <c r="C146" s="1"/>
      <c r="D146" s="1"/>
      <c r="E146" s="2"/>
      <c r="F146" s="2"/>
      <c r="G146" s="2"/>
      <c r="H146" s="2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>
      <c r="A147" s="2"/>
      <c r="B147" s="2"/>
      <c r="C147" s="1"/>
      <c r="D147" s="1"/>
      <c r="E147" s="2"/>
      <c r="F147" s="2"/>
      <c r="G147" s="2"/>
      <c r="H147" s="2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>
      <c r="A148" s="2"/>
      <c r="B148" s="2"/>
      <c r="C148" s="1"/>
      <c r="D148" s="1"/>
      <c r="E148" s="2"/>
      <c r="F148" s="2"/>
      <c r="G148" s="2"/>
      <c r="H148" s="2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>
      <c r="A149" s="2"/>
      <c r="B149" s="2"/>
      <c r="C149" s="1"/>
      <c r="D149" s="1"/>
      <c r="E149" s="2"/>
      <c r="F149" s="2"/>
      <c r="G149" s="2"/>
      <c r="H149" s="2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>
      <c r="A150" s="2"/>
      <c r="B150" s="2"/>
      <c r="C150" s="1"/>
      <c r="D150" s="1"/>
      <c r="E150" s="2"/>
      <c r="F150" s="2"/>
      <c r="G150" s="2"/>
      <c r="H150" s="2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>
      <c r="A151" s="2"/>
      <c r="B151" s="2"/>
      <c r="C151" s="1"/>
      <c r="D151" s="1"/>
      <c r="E151" s="2"/>
      <c r="F151" s="2"/>
      <c r="G151" s="2"/>
      <c r="H151" s="2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>
      <c r="A152" s="2"/>
      <c r="B152" s="2"/>
      <c r="C152" s="1"/>
      <c r="D152" s="1"/>
      <c r="E152" s="2"/>
      <c r="F152" s="2"/>
      <c r="G152" s="2"/>
      <c r="H152" s="2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>
      <c r="A153" s="2"/>
      <c r="B153" s="2"/>
      <c r="C153" s="1"/>
      <c r="D153" s="1"/>
      <c r="E153" s="2"/>
      <c r="F153" s="2"/>
      <c r="G153" s="2"/>
      <c r="H153" s="2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>
      <c r="A154" s="2"/>
      <c r="B154" s="2"/>
      <c r="C154" s="1"/>
      <c r="D154" s="1"/>
      <c r="E154" s="2"/>
      <c r="F154" s="2"/>
      <c r="G154" s="2"/>
      <c r="H154" s="2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>
      <c r="A155" s="2"/>
      <c r="B155" s="2"/>
      <c r="C155" s="1"/>
      <c r="D155" s="1"/>
      <c r="E155" s="2"/>
      <c r="F155" s="2"/>
      <c r="G155" s="2"/>
      <c r="H155" s="2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>
      <c r="A156" s="2"/>
      <c r="B156" s="2"/>
      <c r="C156" s="1"/>
      <c r="D156" s="1"/>
      <c r="E156" s="2"/>
      <c r="F156" s="2"/>
      <c r="G156" s="2"/>
      <c r="H156" s="2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>
      <c r="A157" s="2"/>
      <c r="B157" s="2"/>
      <c r="C157" s="1"/>
      <c r="D157" s="1"/>
      <c r="E157" s="2"/>
      <c r="F157" s="2"/>
      <c r="G157" s="2"/>
      <c r="H157" s="2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>
      <c r="A158" s="2"/>
      <c r="B158" s="2"/>
      <c r="C158" s="1"/>
      <c r="D158" s="1"/>
      <c r="E158" s="2"/>
      <c r="F158" s="2"/>
      <c r="G158" s="2"/>
      <c r="H158" s="2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>
      <c r="A159" s="2"/>
      <c r="B159" s="2"/>
      <c r="C159" s="1"/>
      <c r="D159" s="1"/>
      <c r="E159" s="2"/>
      <c r="F159" s="2"/>
      <c r="G159" s="2"/>
      <c r="H159" s="2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>
      <c r="A160" s="2"/>
      <c r="B160" s="2"/>
      <c r="C160" s="1"/>
      <c r="D160" s="1"/>
      <c r="E160" s="2"/>
      <c r="F160" s="2"/>
      <c r="G160" s="2"/>
      <c r="H160" s="2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>
      <c r="A161" s="2"/>
      <c r="B161" s="2"/>
      <c r="C161" s="1"/>
      <c r="D161" s="1"/>
      <c r="E161" s="2"/>
      <c r="F161" s="2"/>
      <c r="G161" s="2"/>
      <c r="H161" s="2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>
      <c r="A162" s="2"/>
      <c r="B162" s="2"/>
      <c r="C162" s="1"/>
      <c r="D162" s="1"/>
      <c r="E162" s="2"/>
      <c r="F162" s="2"/>
      <c r="G162" s="2"/>
      <c r="H162" s="2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>
      <c r="A163" s="2"/>
      <c r="B163" s="2"/>
      <c r="C163" s="1"/>
      <c r="D163" s="1"/>
      <c r="E163" s="2"/>
      <c r="F163" s="2"/>
      <c r="G163" s="2"/>
      <c r="H163" s="2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>
      <c r="A164" s="2"/>
      <c r="B164" s="2"/>
      <c r="C164" s="1"/>
      <c r="D164" s="1"/>
      <c r="E164" s="2"/>
      <c r="F164" s="2"/>
      <c r="G164" s="2"/>
      <c r="H164" s="2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>
      <c r="A165" s="2"/>
      <c r="B165" s="2"/>
      <c r="C165" s="1"/>
      <c r="D165" s="1"/>
      <c r="E165" s="2"/>
      <c r="F165" s="2"/>
      <c r="G165" s="2"/>
      <c r="H165" s="2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>
      <c r="A166" s="2"/>
      <c r="B166" s="2"/>
      <c r="C166" s="1"/>
      <c r="D166" s="1"/>
      <c r="E166" s="2"/>
      <c r="F166" s="2"/>
      <c r="G166" s="2"/>
      <c r="H166" s="2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>
      <c r="A167" s="2"/>
      <c r="B167" s="2"/>
      <c r="C167" s="1"/>
      <c r="D167" s="1"/>
      <c r="E167" s="2"/>
      <c r="F167" s="2"/>
      <c r="G167" s="2"/>
      <c r="H167" s="2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>
      <c r="A168" s="2"/>
      <c r="B168" s="2"/>
      <c r="C168" s="1"/>
      <c r="D168" s="1"/>
      <c r="E168" s="2"/>
      <c r="F168" s="2"/>
      <c r="G168" s="2"/>
      <c r="H168" s="2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>
      <c r="A169" s="2"/>
      <c r="B169" s="2"/>
      <c r="C169" s="1"/>
      <c r="D169" s="1"/>
      <c r="E169" s="2"/>
      <c r="F169" s="2"/>
      <c r="G169" s="2"/>
      <c r="H169" s="2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>
      <c r="A170" s="2"/>
      <c r="B170" s="2"/>
      <c r="C170" s="1"/>
      <c r="D170" s="1"/>
      <c r="E170" s="2"/>
      <c r="F170" s="2"/>
      <c r="G170" s="2"/>
      <c r="H170" s="2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>
      <c r="A171" s="2"/>
      <c r="B171" s="2"/>
      <c r="C171" s="1"/>
      <c r="D171" s="1"/>
      <c r="E171" s="2"/>
      <c r="F171" s="2"/>
      <c r="G171" s="2"/>
      <c r="H171" s="2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>
      <c r="A172" s="2"/>
      <c r="B172" s="2"/>
      <c r="C172" s="1"/>
      <c r="D172" s="1"/>
      <c r="E172" s="2"/>
      <c r="F172" s="2"/>
      <c r="G172" s="2"/>
      <c r="H172" s="2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>
      <c r="A173" s="2"/>
      <c r="B173" s="2"/>
      <c r="C173" s="1"/>
      <c r="D173" s="1"/>
      <c r="E173" s="2"/>
      <c r="F173" s="2"/>
      <c r="G173" s="2"/>
      <c r="H173" s="2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>
      <c r="A174" s="2"/>
      <c r="B174" s="2"/>
      <c r="C174" s="1"/>
      <c r="D174" s="1"/>
      <c r="E174" s="2"/>
      <c r="F174" s="2"/>
      <c r="G174" s="2"/>
      <c r="H174" s="2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>
      <c r="A175" s="2"/>
      <c r="B175" s="2"/>
      <c r="C175" s="1"/>
      <c r="D175" s="1"/>
      <c r="E175" s="2"/>
      <c r="F175" s="2"/>
      <c r="G175" s="2"/>
      <c r="H175" s="2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>
      <c r="A176" s="2"/>
      <c r="B176" s="2"/>
      <c r="C176" s="1"/>
      <c r="D176" s="1"/>
      <c r="E176" s="2"/>
      <c r="F176" s="2"/>
      <c r="G176" s="2"/>
      <c r="H176" s="2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>
      <c r="A177" s="2"/>
      <c r="B177" s="2"/>
      <c r="C177" s="1"/>
      <c r="D177" s="1"/>
      <c r="E177" s="2"/>
      <c r="F177" s="2"/>
      <c r="G177" s="2"/>
      <c r="H177" s="2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>
      <c r="A178" s="2"/>
      <c r="B178" s="2"/>
      <c r="C178" s="1"/>
      <c r="D178" s="1"/>
      <c r="E178" s="2"/>
      <c r="F178" s="2"/>
      <c r="G178" s="2"/>
      <c r="H178" s="2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>
      <c r="A179" s="2"/>
      <c r="B179" s="2"/>
      <c r="C179" s="1"/>
      <c r="D179" s="1"/>
      <c r="E179" s="2"/>
      <c r="F179" s="2"/>
      <c r="G179" s="2"/>
      <c r="H179" s="2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>
      <c r="A180" s="2"/>
      <c r="B180" s="2"/>
      <c r="C180" s="1"/>
      <c r="D180" s="1"/>
      <c r="E180" s="2"/>
      <c r="F180" s="2"/>
      <c r="G180" s="2"/>
      <c r="H180" s="2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>
      <c r="A181" s="2"/>
      <c r="B181" s="2"/>
      <c r="C181" s="1"/>
      <c r="D181" s="1"/>
      <c r="E181" s="2"/>
      <c r="F181" s="2"/>
      <c r="G181" s="2"/>
      <c r="H181" s="2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>
      <c r="A182" s="2"/>
      <c r="B182" s="2"/>
      <c r="C182" s="1"/>
      <c r="D182" s="1"/>
      <c r="E182" s="2"/>
      <c r="F182" s="2"/>
      <c r="G182" s="2"/>
      <c r="H182" s="2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>
      <c r="A183" s="2"/>
      <c r="B183" s="2"/>
      <c r="C183" s="1"/>
      <c r="D183" s="1"/>
      <c r="E183" s="2"/>
      <c r="F183" s="2"/>
      <c r="G183" s="2"/>
      <c r="H183" s="2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>
      <c r="A184" s="2"/>
      <c r="B184" s="2"/>
      <c r="C184" s="1"/>
      <c r="D184" s="1"/>
      <c r="E184" s="2"/>
      <c r="F184" s="2"/>
      <c r="G184" s="2"/>
      <c r="H184" s="2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>
      <c r="A185" s="2"/>
      <c r="B185" s="2"/>
      <c r="C185" s="1"/>
      <c r="D185" s="1"/>
      <c r="E185" s="2"/>
      <c r="F185" s="2"/>
      <c r="G185" s="2"/>
      <c r="H185" s="2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>
      <c r="A186" s="2"/>
      <c r="B186" s="2"/>
      <c r="C186" s="1"/>
      <c r="D186" s="1"/>
      <c r="E186" s="2"/>
      <c r="F186" s="2"/>
      <c r="G186" s="2"/>
      <c r="H186" s="2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>
      <c r="A187" s="2"/>
      <c r="B187" s="2"/>
      <c r="C187" s="1"/>
      <c r="D187" s="1"/>
      <c r="E187" s="2"/>
      <c r="F187" s="2"/>
      <c r="G187" s="2"/>
      <c r="H187" s="2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>
      <c r="A188" s="2"/>
      <c r="B188" s="2"/>
      <c r="C188" s="1"/>
      <c r="D188" s="1"/>
      <c r="E188" s="2"/>
      <c r="F188" s="2"/>
      <c r="G188" s="2"/>
      <c r="H188" s="2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>
      <c r="A189" s="2"/>
      <c r="B189" s="2"/>
      <c r="C189" s="1"/>
      <c r="D189" s="1"/>
      <c r="E189" s="2"/>
      <c r="F189" s="2"/>
      <c r="G189" s="2"/>
      <c r="H189" s="2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>
      <c r="A190" s="2"/>
      <c r="B190" s="2"/>
      <c r="C190" s="1"/>
      <c r="D190" s="1"/>
      <c r="E190" s="2"/>
      <c r="F190" s="2"/>
      <c r="G190" s="2"/>
      <c r="H190" s="2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>
      <c r="A191" s="2"/>
      <c r="B191" s="2"/>
      <c r="C191" s="1"/>
      <c r="D191" s="1"/>
      <c r="E191" s="2"/>
      <c r="F191" s="2"/>
      <c r="G191" s="2"/>
      <c r="H191" s="2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>
      <c r="A192" s="2"/>
      <c r="B192" s="2"/>
      <c r="C192" s="1"/>
      <c r="D192" s="1"/>
      <c r="E192" s="2"/>
      <c r="F192" s="2"/>
      <c r="G192" s="2"/>
      <c r="H192" s="2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>
      <c r="A193" s="2"/>
      <c r="B193" s="2"/>
      <c r="C193" s="1"/>
      <c r="D193" s="1"/>
      <c r="E193" s="2"/>
      <c r="F193" s="2"/>
      <c r="G193" s="2"/>
      <c r="H193" s="2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>
      <c r="A194" s="2"/>
      <c r="B194" s="2"/>
      <c r="C194" s="1"/>
      <c r="D194" s="1"/>
      <c r="E194" s="2"/>
      <c r="F194" s="2"/>
      <c r="G194" s="2"/>
      <c r="H194" s="2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>
      <c r="A195" s="2"/>
      <c r="B195" s="2"/>
      <c r="C195" s="1"/>
      <c r="D195" s="1"/>
      <c r="E195" s="2"/>
      <c r="F195" s="2"/>
      <c r="G195" s="2"/>
      <c r="H195" s="2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6"/>
    <col collapsed="false" customWidth="true" hidden="false" max="3" min="3" style="0" width="35"/>
    <col collapsed="false" customWidth="true" hidden="false" max="4" min="4" style="0" width="35"/>
    <col collapsed="false" customWidth="true" hidden="false" max="5" min="5" style="0" width="21"/>
    <col collapsed="false" customWidth="true" hidden="false" max="6" min="6" style="0" width="17"/>
    <col collapsed="false" customWidth="true" hidden="false" max="7" min="7" style="0" width="12"/>
    <col collapsed="false" customWidth="true" hidden="false" max="8" min="8" style="0" width="29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Clock Domain</v>
      </c>
      <c r="G1" s="5" t="str">
        <v>TAG</v>
      </c>
      <c r="H1" s="5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 t="str">
        <v>CLK &amp; RESET Interface</v>
      </c>
      <c r="B2" s="4" t="str">
        <v>input</v>
      </c>
      <c r="C2" s="4" t="str">
        <v>ddrc_clk</v>
      </c>
      <c r="D2" s="4">
        <v>1</v>
      </c>
      <c r="E2" s="1" t="str">
        <v>CRG</v>
      </c>
      <c r="F2" s="4" t="str">
        <v>ddrc_clk</v>
      </c>
      <c r="G2" s="1"/>
      <c r="H2" s="4" t="str">
        <v>core_clk
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>
      <c r="A3" s="3"/>
      <c r="B3" s="4" t="str">
        <v>input</v>
      </c>
      <c r="C3" s="4" t="str">
        <v>ddrc_rst_n</v>
      </c>
      <c r="D3" s="4">
        <v>1</v>
      </c>
      <c r="E3" s="1" t="str">
        <v>CRG</v>
      </c>
      <c r="F3" s="4" t="str">
        <v>ddrc_rst_n</v>
      </c>
      <c r="G3" s="1"/>
      <c r="H3" s="4" t="str">
        <v>core_rstn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>
      <c r="A4" s="2"/>
      <c r="B4" s="4" t="str">
        <v>output</v>
      </c>
      <c r="C4" s="4" t="str">
        <v>pre_gnt_be</v>
      </c>
      <c r="D4" s="1">
        <v>1</v>
      </c>
      <c r="E4" s="1" t="str">
        <v>TOP</v>
      </c>
      <c r="F4" s="4" t="str">
        <v>core_clk
</v>
      </c>
      <c r="G4" s="1" t="str">
        <v>pre_gnt_if_be</v>
      </c>
      <c r="H4" s="4" t="str" xml:space="preserve">
        <v>Gnt Type Pulse 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2"/>
      <c r="B5" s="4" t="str">
        <v>output</v>
      </c>
      <c r="C5" s="4" t="str">
        <v>pre_gnt_type_be</v>
      </c>
      <c r="D5" s="1">
        <v>1</v>
      </c>
      <c r="E5" s="1" t="str">
        <v>TOP</v>
      </c>
      <c r="F5" s="4" t="str">
        <v>core_clk
</v>
      </c>
      <c r="G5" s="1" t="str">
        <v>pre_gnt_if_be</v>
      </c>
      <c r="H5" s="4" t="str" xml:space="preserve">
        <v>Gnt Type Pulse 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2"/>
      <c r="B6" s="4" t="str">
        <v>output</v>
      </c>
      <c r="C6" s="4" t="str">
        <v>pre_gnt_bank_be</v>
      </c>
      <c r="D6" s="4" t="str">
        <v>[DDRC_SCRKBK_WIDTH-1:0]</v>
      </c>
      <c r="E6" s="1" t="str">
        <v>TOP</v>
      </c>
      <c r="F6" s="4" t="str">
        <v>core_clk
</v>
      </c>
      <c r="G6" s="1" t="str">
        <v>pre_gnt_if_be</v>
      </c>
      <c r="H6" s="4" t="str" xml:space="preserve">
        <v>Gnt Type Pulse 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2"/>
      <c r="B7" s="4" t="str">
        <v>input</v>
      </c>
      <c r="C7" s="4" t="str">
        <v>pre_all_intent_ref</v>
      </c>
      <c r="D7" s="1" t="str">
        <v>RK_NUM*SC_NUM</v>
      </c>
      <c r="E7" s="1" t="str">
        <v>TOP</v>
      </c>
      <c r="F7" s="4" t="str">
        <v>core_clk
</v>
      </c>
      <c r="G7" s="1" t="str">
        <v>pre_all_if_ref</v>
      </c>
      <c r="H7" s="4" t="str">
        <v>pre_all_intent_ref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2"/>
      <c r="B8" s="4" t="str">
        <v>input</v>
      </c>
      <c r="C8" s="4" t="str">
        <v>pre_all_intent_qos_ref</v>
      </c>
      <c r="D8" s="1" t="str">
        <v>RK_NUM*SC_NUM</v>
      </c>
      <c r="E8" s="1" t="str">
        <v>TOP</v>
      </c>
      <c r="F8" s="4" t="str">
        <v>core_clk
</v>
      </c>
      <c r="G8" s="1" t="str">
        <v>pre_all_if_ref</v>
      </c>
      <c r="H8" s="4" t="str">
        <v>pre_all_intent_qos_ref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2"/>
      <c r="B9" s="4" t="str">
        <v>output</v>
      </c>
      <c r="C9" s="4" t="str">
        <v>pre_all_intent_grant_ref</v>
      </c>
      <c r="D9" s="1" t="str">
        <v>RK_NUM*SC_NUM</v>
      </c>
      <c r="E9" s="1" t="str">
        <v>TOP</v>
      </c>
      <c r="F9" s="4" t="str">
        <v>core_clk
</v>
      </c>
      <c r="G9" s="1" t="str">
        <v>pre_all_if_ref</v>
      </c>
      <c r="H9" s="4" t="str">
        <v>pre_all_intent_grant_ref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2"/>
      <c r="B10" s="4" t="str">
        <v>input</v>
      </c>
      <c r="C10" s="4" t="str">
        <v>prepb_req_ref</v>
      </c>
      <c r="D10" s="4" t="str">
        <v>[RK_NUM*SC_NUM-1:0]</v>
      </c>
      <c r="E10" s="1" t="str">
        <v>TOP</v>
      </c>
      <c r="F10" s="4" t="str">
        <v>core_clk
</v>
      </c>
      <c r="G10" s="1" t="str">
        <v>pre_pb/mrr_if</v>
      </c>
      <c r="H10" s="4" t="str">
        <v>prepb_req_ref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2"/>
      <c r="B11" s="4" t="str">
        <v>input</v>
      </c>
      <c r="C11" s="4" t="str">
        <v>prepb_req_qos_ref</v>
      </c>
      <c r="D11" s="4" t="str">
        <v>[RK_NUM*SC_NUM-1:0]</v>
      </c>
      <c r="E11" s="1" t="str">
        <v>TOP</v>
      </c>
      <c r="F11" s="4" t="str">
        <v>core_clk
</v>
      </c>
      <c r="G11" s="1" t="str">
        <v>pre_pb/mrr_if</v>
      </c>
      <c r="H11" s="4" t="str">
        <v>prepb_req_qos_ref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2"/>
      <c r="B12" s="4" t="str">
        <v>output</v>
      </c>
      <c r="C12" s="4" t="str">
        <v>prepb_grant_ref</v>
      </c>
      <c r="D12" s="4">
        <v>1</v>
      </c>
      <c r="E12" s="1" t="str">
        <v>TOP</v>
      </c>
      <c r="F12" s="4" t="str">
        <v>core_clk
</v>
      </c>
      <c r="G12" s="1" t="str">
        <v>pre_pb/mrr_if</v>
      </c>
      <c r="H12" s="4" t="str">
        <v>prepb_grant_ref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2"/>
      <c r="B13" s="4" t="str">
        <v>input</v>
      </c>
      <c r="C13" s="4" t="str">
        <v>pre_ab(all)_req(intent)_pim</v>
      </c>
      <c r="D13" s="4" t="str">
        <v>[RK_NUM*SC_NUM-1:0]</v>
      </c>
      <c r="E13" s="1" t="str">
        <v>TOP</v>
      </c>
      <c r="F13" s="4" t="str">
        <v>core_clk
</v>
      </c>
      <c r="G13" s="1" t="str">
        <v>pre_all_if_pim</v>
      </c>
      <c r="H13" s="4" t="str">
        <v>pre_ab(all)_req_pim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2"/>
      <c r="B14" s="4" t="str">
        <v>input</v>
      </c>
      <c r="C14" s="4" t="str">
        <v>pre_ab(all)_req(intent)_urgent(_qos)_pim</v>
      </c>
      <c r="D14" s="4" t="str">
        <v>[RK_NUM*SC_NUM-1:0]</v>
      </c>
      <c r="E14" s="1" t="str">
        <v>TOP</v>
      </c>
      <c r="F14" s="4" t="str">
        <v>core_clk
</v>
      </c>
      <c r="G14" s="1" t="str">
        <v>pre_all_if_pim</v>
      </c>
      <c r="H14" s="4" t="str">
        <v>pre_ab(all)_req_urgent(_qos)_pim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>
      <c r="A15" s="2"/>
      <c r="B15" s="4" t="str">
        <v>input</v>
      </c>
      <c r="C15" s="4" t="str">
        <v>pre_ab(all)_req_type_pim</v>
      </c>
      <c r="D15" s="4" t="str">
        <v>[3*RK_NUM*SC_NUM-1:0]</v>
      </c>
      <c r="E15" s="1" t="str">
        <v>TOP</v>
      </c>
      <c r="F15" s="4" t="str">
        <v>core_clk
</v>
      </c>
      <c r="G15" s="1" t="str">
        <v>pre_all_if_pim</v>
      </c>
      <c r="H15" s="4" t="str">
        <v>pre_ab(all)_req_type_pim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>
      <c r="A16" s="2"/>
      <c r="B16" s="4" t="str">
        <v>output</v>
      </c>
      <c r="C16" s="4" t="str">
        <v>pre_ab(all)_ack(grant)_pim</v>
      </c>
      <c r="D16" s="4" t="str">
        <v>[RK_NUM*SC_NUM-1:0]</v>
      </c>
      <c r="E16" s="1" t="str">
        <v>TOP</v>
      </c>
      <c r="F16" s="4" t="str">
        <v>core_clk
</v>
      </c>
      <c r="G16" s="1" t="str">
        <v>pre_all_if_pim</v>
      </c>
      <c r="H16" s="4" t="str">
        <v>pre_ab(all)_ack(grant)_pim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>
      <c r="A17" s="2"/>
      <c r="B17" s="4" t="str">
        <v>input</v>
      </c>
      <c r="C17" s="4" t="str">
        <v>pre_ab(all)_req(intent)_lp</v>
      </c>
      <c r="D17" s="4" t="str">
        <v>[RK_NUM-1:0]</v>
      </c>
      <c r="E17" s="1" t="str">
        <v>TOP</v>
      </c>
      <c r="F17" s="4" t="str">
        <v>core_clk
</v>
      </c>
      <c r="G17" s="1" t="str">
        <v>pre_all_if_lp</v>
      </c>
      <c r="H17" s="4" t="str">
        <v>pre_ab(all)_req(intent)_lp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A18" s="2"/>
      <c r="B18" s="4" t="str">
        <v>input</v>
      </c>
      <c r="C18" s="4" t="str">
        <v>pre_ab(all)_req(intent)_(_qos)_lp</v>
      </c>
      <c r="D18" s="4" t="str">
        <v>[RK_NUM-1:0]</v>
      </c>
      <c r="E18" s="1" t="str">
        <v>TOP</v>
      </c>
      <c r="F18" s="4" t="str">
        <v>core_clk
</v>
      </c>
      <c r="G18" s="1" t="str">
        <v>pre_all_if_lp</v>
      </c>
      <c r="H18" s="4" t="str">
        <v>pre_ab(all)_req(intent)_(_qos)_lp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2"/>
      <c r="B19" s="4" t="str">
        <v>output</v>
      </c>
      <c r="C19" s="4" t="str">
        <v>pre_ab(all)_grant_lp</v>
      </c>
      <c r="D19" s="4" t="str">
        <v>[3*RK_NUM*SC_NUM-1:0]</v>
      </c>
      <c r="E19" s="1" t="str">
        <v>TOP</v>
      </c>
      <c r="F19" s="4" t="str">
        <v>core_clk
</v>
      </c>
      <c r="G19" s="1" t="str">
        <v>pre_all_if_lp</v>
      </c>
      <c r="H19" s="4" t="str">
        <v>pre_ab(all)_grant_lp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2"/>
      <c r="B20" s="4" t="str">
        <v>output</v>
      </c>
      <c r="C20" s="4" t="str">
        <v>pa_pre_all_grant</v>
      </c>
      <c r="D20" s="4" t="str">
        <v>[RK_NUM-1:0]</v>
      </c>
      <c r="E20" s="1" t="str">
        <v>TOP</v>
      </c>
      <c r="F20" s="4" t="str">
        <v>core_clk
</v>
      </c>
      <c r="G20" s="1" t="str">
        <v>gnt_if_lpc</v>
      </c>
      <c r="H20" s="4" t="str">
        <v>pa_pre_all_grant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>
      <c r="A21" s="2"/>
      <c r="B21" s="4" t="str">
        <v>output</v>
      </c>
      <c r="C21" s="4" t="str">
        <v>pa_pre_pb_grant</v>
      </c>
      <c r="D21" s="4" t="str">
        <v>[RK_NUM-1:0]</v>
      </c>
      <c r="E21" s="1" t="str">
        <v>TOP</v>
      </c>
      <c r="F21" s="4" t="str">
        <v>core_clk
</v>
      </c>
      <c r="G21" s="1" t="str">
        <v>gnt_if_lpc</v>
      </c>
      <c r="H21" s="4" t="str">
        <v>pa_pre_pb_grant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2"/>
      <c r="B22" s="4" t="str">
        <v>output</v>
      </c>
      <c r="C22" s="4" t="str">
        <v>pre_vld</v>
      </c>
      <c r="D22" s="4" t="str">
        <v>[2**RK_NUM-1:0]</v>
      </c>
      <c r="E22" s="1" t="str">
        <v>TOP</v>
      </c>
      <c r="F22" s="4" t="str">
        <v>core_clk
</v>
      </c>
      <c r="G22" s="1" t="str">
        <v>pre_all_if_lc</v>
      </c>
      <c r="H22" s="4" t="str">
        <v>pre_vld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2"/>
      <c r="B23" s="4" t="str">
        <v>output</v>
      </c>
      <c r="C23" s="4" t="str">
        <v>pre_ph</v>
      </c>
      <c r="D23" s="4" t="str">
        <v>[2*2**RK_NUM-1:0]</v>
      </c>
      <c r="E23" s="1" t="str">
        <v>TOP</v>
      </c>
      <c r="F23" s="4" t="str">
        <v>core_clk
</v>
      </c>
      <c r="G23" s="1" t="str">
        <v>pre_all_if_lc</v>
      </c>
      <c r="H23" s="4" t="str">
        <v>pre_ph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2"/>
      <c r="B24" s="4" t="str">
        <v>output</v>
      </c>
      <c r="C24" s="4" t="str">
        <v>pre_addr
</v>
      </c>
      <c r="D24" s="4" t="str">
        <v>[2**RK_NUM-1:0]</v>
      </c>
      <c r="E24" s="1" t="str">
        <v>TOP</v>
      </c>
      <c r="F24" s="4" t="str">
        <v>core_clk
</v>
      </c>
      <c r="G24" s="1" t="str">
        <v>pre_all_if_lc</v>
      </c>
      <c r="H24" s="4" t="str">
        <v>pre_addr
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2"/>
      <c r="B25" s="4" t="str">
        <v>output</v>
      </c>
      <c r="C25" s="4" t="str">
        <v>pre_type</v>
      </c>
      <c r="D25" s="4" t="str">
        <v>[2*2**RK_NUM-1:0]</v>
      </c>
      <c r="E25" s="1" t="str">
        <v>TOP</v>
      </c>
      <c r="F25" s="4" t="str">
        <v>core_clk
</v>
      </c>
      <c r="G25" s="1" t="str">
        <v>pre_all_if_lc</v>
      </c>
      <c r="H25" s="4" t="str">
        <v>pre_type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2"/>
      <c r="B26" s="4" t="str">
        <v>input</v>
      </c>
      <c r="C26" s="4" t="str">
        <v>pre_ab_allow
</v>
      </c>
      <c r="D26" s="4" t="str">
        <v>[2**RK_NUM-1:0]</v>
      </c>
      <c r="E26" s="1" t="str">
        <v>TOP</v>
      </c>
      <c r="F26" s="4" t="str">
        <v>core_clk
</v>
      </c>
      <c r="G26" s="1" t="str">
        <v>pre_all_if_lc</v>
      </c>
      <c r="H26" s="4" t="str">
        <v>pre_ab_allow
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2"/>
      <c r="B27" s="4" t="str">
        <v>input</v>
      </c>
      <c r="C27" s="4" t="str">
        <v>pre_ab_allow_ph</v>
      </c>
      <c r="D27" s="4" t="str">
        <v>[2*2**RK_NUM-1:0]</v>
      </c>
      <c r="E27" s="1" t="str">
        <v>TOP</v>
      </c>
      <c r="F27" s="4" t="str">
        <v>core_clk
</v>
      </c>
      <c r="G27" s="1" t="str">
        <v>pre_all_if_lc</v>
      </c>
      <c r="H27" s="4" t="str">
        <v>pre_ab_allow_ph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2"/>
      <c r="B28" s="4" t="str">
        <v>input</v>
      </c>
      <c r="C28" s="4" t="str">
        <v>spre_ab_allow
</v>
      </c>
      <c r="D28" s="4" t="str">
        <v>[2**RK_NUM-1:0]</v>
      </c>
      <c r="E28" s="1" t="str">
        <v>TOP</v>
      </c>
      <c r="F28" s="4" t="str">
        <v>core_clk
</v>
      </c>
      <c r="G28" s="1" t="str">
        <v>pre_all_if_lc</v>
      </c>
      <c r="H28" s="4" t="str">
        <v>spre_ab_allow
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2"/>
      <c r="B29" s="4" t="str">
        <v>input</v>
      </c>
      <c r="C29" s="4" t="str">
        <v>spre_ab_allow_ph</v>
      </c>
      <c r="D29" s="4" t="str">
        <v>[2*2**RK_NUM-1:0]</v>
      </c>
      <c r="E29" s="1" t="str">
        <v>TOP</v>
      </c>
      <c r="F29" s="4" t="str">
        <v>core_clk
</v>
      </c>
      <c r="G29" s="1" t="str">
        <v>pre_all_if_lc</v>
      </c>
      <c r="H29" s="4" t="str">
        <v>spre_ab_allow_ph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2"/>
      <c r="B30" s="1" t="str">
        <v>output</v>
      </c>
      <c r="C30" s="1" t="str">
        <v>pa_cmd_vld</v>
      </c>
      <c r="D30" s="1">
        <v>1</v>
      </c>
      <c r="E30" s="1" t="str">
        <v>TOP</v>
      </c>
      <c r="F30" s="1" t="str">
        <v>core_clk</v>
      </c>
      <c r="G30" s="1" t="str">
        <v>pre_all_if_dfi</v>
      </c>
      <c r="H30" s="1" t="str">
        <v>pa_cmd_vld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>
      <c r="A31" s="2"/>
      <c r="B31" s="1" t="str">
        <v>output</v>
      </c>
      <c r="C31" s="1" t="str">
        <v>pa_dfi_cmd_type</v>
      </c>
      <c r="D31" s="1" t="str">
        <v>[DDRC_PA_CMD_WIDTH-1:0]</v>
      </c>
      <c r="E31" s="1" t="str">
        <v>TOP</v>
      </c>
      <c r="F31" s="4" t="str">
        <v>core_clk
</v>
      </c>
      <c r="G31" s="1" t="str">
        <v>pre_all_if_dfi</v>
      </c>
      <c r="H31" s="1" t="str">
        <v>pa_cmd_pre_all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2"/>
      <c r="B32" s="1" t="str">
        <v>output</v>
      </c>
      <c r="C32" s="4" t="str">
        <v>pa_dfi_cmd_rank</v>
      </c>
      <c r="D32" s="4" t="str">
        <v>[RK_NUM-1:0]</v>
      </c>
      <c r="E32" s="1" t="str">
        <v>TOP</v>
      </c>
      <c r="F32" s="4" t="str">
        <v>core_clk
</v>
      </c>
      <c r="G32" s="1" t="str">
        <v>pre_all_if_dfi</v>
      </c>
      <c r="H32" s="4" t="str">
        <v>pa_dfi_cmd_rank_pre_all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2"/>
      <c r="B33" s="1" t="str">
        <v>output</v>
      </c>
      <c r="C33" s="4" t="str">
        <v>pa_dfI_cmd_phase</v>
      </c>
      <c r="D33" s="4" t="str">
        <v>[DDRC_PA_PHASE_WIDTH-1:0]</v>
      </c>
      <c r="E33" s="1" t="str">
        <v>TOP</v>
      </c>
      <c r="F33" s="4" t="str">
        <v>core_clk
</v>
      </c>
      <c r="G33" s="1" t="str">
        <v>pre_all_if_dfi</v>
      </c>
      <c r="H33" s="4" t="str">
        <v>pa_dfI_cmd_phase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2"/>
      <c r="B34" s="1" t="str">
        <v>output</v>
      </c>
      <c r="C34" s="4" t="str">
        <v>pa_dfi_cmd_sc</v>
      </c>
      <c r="D34" s="4">
        <v>1</v>
      </c>
      <c r="E34" s="1" t="str">
        <v>TOP</v>
      </c>
      <c r="F34" s="4" t="str">
        <v>core_clk
</v>
      </c>
      <c r="G34" s="1" t="str">
        <v>pre_all_if_dfi</v>
      </c>
      <c r="H34" s="4" t="str">
        <v>pa_dfi_cmd_sc_pre_all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A35" s="2"/>
      <c r="B35" s="4" t="str">
        <v>output</v>
      </c>
      <c r="C35" s="4" t="str">
        <v>preab_req_preall</v>
      </c>
      <c r="D35" s="4" t="str">
        <v>[RK_NUM*SC_NUM-1:0]</v>
      </c>
      <c r="E35" s="1" t="str">
        <v>Command_Arbiter</v>
      </c>
      <c r="F35" s="4" t="str">
        <v>core_clk
</v>
      </c>
      <c r="G35" s="1" t="str">
        <v>preall_if</v>
      </c>
      <c r="H35" s="4" t="str">
        <v>preab_req_preall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2"/>
      <c r="B36" s="4" t="str">
        <v>output</v>
      </c>
      <c r="C36" s="4" t="str">
        <v>preab_req_qos_preall</v>
      </c>
      <c r="D36" s="4" t="str">
        <v>[RK_NUM*SC_NUM-1:0]</v>
      </c>
      <c r="E36" s="1" t="str">
        <v>Command_Arbiter</v>
      </c>
      <c r="F36" s="4" t="str">
        <v>core_clk
</v>
      </c>
      <c r="G36" s="1" t="str">
        <v>preall_if</v>
      </c>
      <c r="H36" s="4" t="str">
        <v>preab_req_preall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2"/>
      <c r="B37" s="4" t="str">
        <v>input</v>
      </c>
      <c r="C37" s="4" t="str">
        <v>preab_grant_preall</v>
      </c>
      <c r="D37" s="4" t="str">
        <v>[RK_NUM*SC_NUM-1:0]</v>
      </c>
      <c r="E37" s="1" t="str">
        <v>Command_Arbiter</v>
      </c>
      <c r="F37" s="4" t="str">
        <v>core_clk
</v>
      </c>
      <c r="G37" s="1" t="str">
        <v>preall_if</v>
      </c>
      <c r="H37" s="4" t="str">
        <v>preab_req_preall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</sheetData>
  <mergeCells>
    <mergeCell ref="A2:A3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4"/>
    <col collapsed="false" customWidth="true" hidden="false" max="3" min="3" style="0" width="41"/>
    <col collapsed="false" customWidth="true" hidden="false" max="4" min="4" style="0" width="49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8"/>
    <col collapsed="false" customWidth="true" hidden="false" max="8" min="8" style="0" width="34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Clock Domain</v>
      </c>
      <c r="G1" s="5" t="str">
        <v>TAG</v>
      </c>
      <c r="H1" s="5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2"/>
      <c r="B2" s="4" t="str">
        <v>input</v>
      </c>
      <c r="C2" s="4" t="str">
        <v>ddrc_clk</v>
      </c>
      <c r="D2" s="4">
        <v>1</v>
      </c>
      <c r="E2" s="1" t="str">
        <v>CRG</v>
      </c>
      <c r="F2" s="4" t="str">
        <v>ddrc_clk</v>
      </c>
      <c r="G2" s="1"/>
      <c r="H2" s="4" t="str">
        <v>core_clk
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>
      <c r="A3" s="2"/>
      <c r="B3" s="4" t="str">
        <v>input</v>
      </c>
      <c r="C3" s="4" t="str">
        <v>ddrc_rst_n</v>
      </c>
      <c r="D3" s="4">
        <v>1</v>
      </c>
      <c r="E3" s="1" t="str">
        <v>CRG</v>
      </c>
      <c r="F3" s="4" t="str">
        <v>ddrc_rst_n</v>
      </c>
      <c r="G3" s="1"/>
      <c r="H3" s="4" t="str">
        <v>core_rstn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>
      <c r="A4" s="2"/>
      <c r="B4" s="4" t="str">
        <v>input</v>
      </c>
      <c r="C4" s="4" t="str">
        <v>bp_req_ref</v>
      </c>
      <c r="D4" s="1" t="str">
        <v>RK_NUM*SC_NUM</v>
      </c>
      <c r="E4" s="1" t="str">
        <v>TOP</v>
      </c>
      <c r="F4" s="4" t="str">
        <v>core_clk
</v>
      </c>
      <c r="G4" s="1" t="str">
        <v>bp_if_ref</v>
      </c>
      <c r="H4" s="4" t="str">
        <v>3DS will be dropped in Protocol arbiter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2"/>
      <c r="B5" s="4" t="str">
        <v>input</v>
      </c>
      <c r="C5" s="4" t="str">
        <v>bq_type_ref</v>
      </c>
      <c r="D5" s="1" t="str">
        <v>RK_NUM*SC_NUM</v>
      </c>
      <c r="E5" s="1" t="str">
        <v>TOP</v>
      </c>
      <c r="F5" s="4" t="str">
        <v>core_clk
</v>
      </c>
      <c r="G5" s="1" t="str">
        <v>bp_if_ref</v>
      </c>
      <c r="H5" s="4" t="str">
        <v>bq_type_ref 0 dual bank 1 all bank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2"/>
      <c r="B6" s="4" t="str">
        <v>input</v>
      </c>
      <c r="C6" s="4" t="str">
        <v>bp_bgbk_0_ref</v>
      </c>
      <c r="D6" s="4" t="str">
        <v>DDRC_BGBK_WIDTH*RK_NUM*SC_NUM</v>
      </c>
      <c r="E6" s="1" t="str">
        <v>TOP</v>
      </c>
      <c r="F6" s="4" t="str">
        <v>core_clk
</v>
      </c>
      <c r="G6" s="1" t="str">
        <v>bp_if_ref</v>
      </c>
      <c r="H6" s="4" t="str">
        <v>bp_rnkbgbk_0_ref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2"/>
      <c r="B7" s="4" t="str">
        <v>input</v>
      </c>
      <c r="C7" s="4" t="str">
        <v>bp_bgbk_1_ref</v>
      </c>
      <c r="D7" s="4" t="str">
        <v>DDRC_BGBK_WIDTH*RK_NUM*SC_NUM</v>
      </c>
      <c r="E7" s="1" t="str">
        <v>TOP</v>
      </c>
      <c r="F7" s="4" t="str">
        <v>core_clk
</v>
      </c>
      <c r="G7" s="1" t="str">
        <v>bp_if_ref</v>
      </c>
      <c r="H7" s="4" t="str">
        <v>bp_rnkbgbk_1_ref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2"/>
      <c r="B8" s="4" t="str">
        <v>input</v>
      </c>
      <c r="C8" s="4" t="str">
        <v>backpressure_pim(bp_req_pim)</v>
      </c>
      <c r="D8" s="4" t="str">
        <v>[RK_NUM-1:0]</v>
      </c>
      <c r="E8" s="1" t="str">
        <v>TOP</v>
      </c>
      <c r="F8" s="4" t="str">
        <v>core_clk
</v>
      </c>
      <c r="G8" s="1" t="str">
        <v>bp_if_pim</v>
      </c>
      <c r="H8" s="4" t="str">
        <v>backpressure_pim(bp_req_pim)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2"/>
      <c r="B9" s="4" t="str">
        <v>input</v>
      </c>
      <c r="C9" s="4" t="str">
        <v>backpressure_urgent_pim(bp_hqos_pim)</v>
      </c>
      <c r="D9" s="4" t="str">
        <v>[RK_NUM-1:0]</v>
      </c>
      <c r="E9" s="1" t="str">
        <v>TOP</v>
      </c>
      <c r="F9" s="4" t="str">
        <v>core_clk
</v>
      </c>
      <c r="G9" s="1" t="str">
        <v>bp_if_pim</v>
      </c>
      <c r="H9" s="4" t="str">
        <v>backpressure_urgent_pim(bp_hqos_pim)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2"/>
      <c r="B10" s="4" t="str">
        <v>input</v>
      </c>
      <c r="C10" s="4" t="str">
        <v>bp_req_lp</v>
      </c>
      <c r="D10" s="4" t="str">
        <v>[RK_NUM*SC_NUM-1:0]</v>
      </c>
      <c r="E10" s="1" t="str">
        <v>TOP</v>
      </c>
      <c r="F10" s="4" t="str">
        <v>core_clk
</v>
      </c>
      <c r="G10" s="1" t="str">
        <v>bp_if_lp</v>
      </c>
      <c r="H10" s="4" t="str">
        <v>bp_req_lp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2"/>
      <c r="B11" s="4" t="str">
        <v>output</v>
      </c>
      <c r="C11" s="4" t="str" xml:space="preserve">
        <v>bp_req_fe </v>
      </c>
      <c r="D11" s="4" t="str">
        <v>[RK_NUM*SC_NUM-1:0]</v>
      </c>
      <c r="E11" s="4" t="str">
        <v>BQ_FE</v>
      </c>
      <c r="F11" s="4" t="str">
        <v>core_clk
</v>
      </c>
      <c r="G11" s="1" t="str">
        <v>bp_if_fe</v>
      </c>
      <c r="H11" s="4" t="str" xml:space="preserve">
        <v>bp_req_fe 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2"/>
      <c r="B12" s="4" t="str">
        <v>output</v>
      </c>
      <c r="C12" s="4" t="str">
        <v>bp_type_fe</v>
      </c>
      <c r="D12" s="4" t="str">
        <v>[RK_NUM*SC_NUM-1:0]</v>
      </c>
      <c r="E12" s="4" t="str">
        <v>BQ_FE</v>
      </c>
      <c r="F12" s="4" t="str">
        <v>core_clk
</v>
      </c>
      <c r="G12" s="1" t="str">
        <v>bp_if_fe</v>
      </c>
      <c r="H12" s="4" t="str">
        <v>bp_rnkbnk_fe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2"/>
      <c r="B13" s="4" t="str">
        <v>output</v>
      </c>
      <c r="C13" s="4" t="str">
        <v>bp_rnkbgbk_0_pa</v>
      </c>
      <c r="D13" s="4" t="str">
        <v>DDRC_SCRKBGBK_WIDTH*RK_NUM*SC_NUM</v>
      </c>
      <c r="E13" s="4" t="str">
        <v>BQ_FE</v>
      </c>
      <c r="F13" s="4" t="str">
        <v>core_clk
</v>
      </c>
      <c r="G13" s="1" t="str">
        <v>bp_if_fe</v>
      </c>
      <c r="H13" s="4" t="str">
        <v>bp_rnkbgbk_0_pa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2"/>
      <c r="B14" s="4" t="str">
        <v>output</v>
      </c>
      <c r="C14" s="4" t="str">
        <v>bp_rnkbgbk_1_pa</v>
      </c>
      <c r="D14" s="4" t="str">
        <v>DDRC_SCRKBGBK_WIDTH*RK_NUM*SC_NUM</v>
      </c>
      <c r="E14" s="4" t="str">
        <v>BQ_FE</v>
      </c>
      <c r="F14" s="4" t="str">
        <v>core_clk
</v>
      </c>
      <c r="G14" s="1" t="str">
        <v>bp_if_fe</v>
      </c>
      <c r="H14" s="4" t="str">
        <v>bp_rnkbgbk_1_pa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44"/>
    <col collapsed="false" customWidth="true" hidden="false" max="3" min="3" style="0" width="14"/>
    <col collapsed="false" customWidth="true" hidden="false" max="4" min="4" style="0" width="5"/>
    <col collapsed="false" customWidth="true" hidden="false" max="5" min="5" style="0" width="40"/>
    <col collapsed="false" customWidth="true" hidden="false" max="6" min="6" style="0" width="68"/>
    <col collapsed="false" customWidth="true" hidden="false" max="7" min="7" style="0" width="6"/>
    <col collapsed="false" customWidth="true" hidden="false" max="8" min="8" style="0" width="32"/>
    <col collapsed="false" customWidth="true" hidden="false" max="9" min="9" style="0" width="68"/>
    <col collapsed="false" customWidth="true" hidden="false" max="10" min="10" style="0" width="5"/>
    <col collapsed="false" customWidth="true" hidden="false" max="11" min="11" style="0" width="31"/>
    <col collapsed="false" customWidth="true" hidden="false" max="12" min="12" style="0" width="31"/>
    <col collapsed="false" customWidth="true" hidden="false" max="13" min="13" style="0" width="31"/>
    <col collapsed="false" customWidth="true" hidden="false" max="14" min="14" style="0" width="12"/>
    <col collapsed="false" customWidth="true" hidden="false" max="15" min="15" style="0" width="5"/>
    <col collapsed="false" customWidth="true" hidden="false" max="16" min="16" style="0" width="27"/>
    <col collapsed="false" customWidth="true" hidden="false" max="17" min="17" style="0" width="42"/>
    <col collapsed="false" customWidth="true" hidden="false" max="18" min="18" style="0" width="6"/>
    <col collapsed="false" customWidth="true" hidden="false" max="19" min="19" style="0" width="41"/>
    <col collapsed="false" customWidth="true" hidden="false" max="20" min="20" style="0" width="45"/>
    <col collapsed="false" customWidth="true" hidden="false" max="21" min="21" style="0" width="6"/>
    <col collapsed="false" customWidth="true" hidden="false" max="22" min="22" style="0" width="25"/>
    <col collapsed="false" customWidth="true" hidden="false" max="23" min="23" style="0" width="32"/>
    <col collapsed="false" customWidth="true" hidden="false" max="24" min="24" style="0" width="5"/>
    <col collapsed="false" customWidth="true" hidden="false" max="25" min="25" style="0" width="32"/>
    <col collapsed="false" customWidth="true" hidden="false" max="26" min="26" style="0" width="59"/>
    <col collapsed="false" customWidth="true" hidden="false" max="27" min="27" style="0" width="18"/>
    <col collapsed="false" customWidth="true" hidden="false" max="28" min="28" style="0" width="12"/>
    <col collapsed="false" customWidth="true" hidden="false" max="29" min="29" style="0" width="4"/>
    <col collapsed="false" customWidth="true" hidden="false" max="30" min="30" style="0" width="29"/>
    <col collapsed="false" customWidth="true" hidden="false" max="31" min="31" style="0" width="12"/>
    <col collapsed="false" customWidth="true" hidden="false" max="32" min="32" style="0" width="4"/>
    <col collapsed="false" customWidth="true" hidden="false" max="33" min="33" style="0" width="21"/>
    <col collapsed="false" customWidth="true" hidden="false" max="34" min="34" style="0" width="20"/>
    <col collapsed="false" customWidth="true" hidden="false" max="35" min="35" style="0" width="5"/>
    <col collapsed="false" customWidth="true" hidden="false" max="36" min="36" style="0" width="26"/>
    <col collapsed="false" customWidth="true" hidden="false" max="37" min="37" style="0" width="24"/>
    <col collapsed="false" customWidth="true" hidden="false" max="38" min="38" style="0" width="7"/>
    <col collapsed="false" customWidth="true" hidden="false" max="39" min="39" style="0" width="34"/>
    <col collapsed="false" customWidth="true" hidden="false" max="40" min="40" style="0" width="12"/>
  </cols>
  <sheetData>
    <row r="1">
      <c r="A1" s="14" t="str">
        <v>DDRC_XX_RK/ROW/BG/BK/COL/LRK_WIDTH</v>
      </c>
      <c r="B1" s="12"/>
      <c r="C1" s="12"/>
      <c r="D1" s="13"/>
      <c r="E1" s="12"/>
      <c r="F1" s="13"/>
      <c r="G1" s="13"/>
      <c r="H1" s="12"/>
      <c r="I1" s="12"/>
      <c r="J1" s="13"/>
      <c r="K1" s="12"/>
      <c r="L1" s="12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2"/>
      <c r="AN1" s="12"/>
    </row>
    <row r="2">
      <c r="A2" s="14" t="str">
        <v>DDRC_XX_PC_NUM</v>
      </c>
      <c r="B2" s="12"/>
      <c r="C2" s="12"/>
      <c r="D2" s="13"/>
      <c r="E2" s="12"/>
      <c r="F2" s="13"/>
      <c r="G2" s="13"/>
      <c r="H2" s="12"/>
      <c r="I2" s="12"/>
      <c r="J2" s="13"/>
      <c r="K2" s="12"/>
      <c r="L2" s="12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2"/>
      <c r="AN2" s="12"/>
    </row>
    <row r="3">
      <c r="A3" s="14" t="str">
        <v>DDRC_XX_ADDR/DATA/QOS/ID_WIDTH</v>
      </c>
      <c r="B3" s="12"/>
      <c r="C3" s="12"/>
      <c r="D3" s="13"/>
      <c r="E3" s="12"/>
      <c r="F3" s="13"/>
      <c r="G3" s="13"/>
      <c r="H3" s="12"/>
      <c r="I3" s="12"/>
      <c r="J3" s="13"/>
      <c r="K3" s="12"/>
      <c r="L3" s="12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2"/>
      <c r="AN3" s="12"/>
    </row>
    <row r="4">
      <c r="A4" s="14" t="str">
        <v>DDRC_XX_BQ/BSM_NUM</v>
      </c>
      <c r="B4" s="12"/>
      <c r="C4" s="12"/>
      <c r="D4" s="13"/>
      <c r="E4" s="12"/>
      <c r="F4" s="13"/>
      <c r="G4" s="13"/>
      <c r="H4" s="12"/>
      <c r="I4" s="12"/>
      <c r="J4" s="13"/>
      <c r="K4" s="12"/>
      <c r="L4" s="12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2"/>
      <c r="AN4" s="12"/>
    </row>
    <row r="5">
      <c r="A5" s="14" t="str">
        <v>DDRC_XX_CAM_DEPTH</v>
      </c>
      <c r="B5" s="12"/>
      <c r="C5" s="12"/>
      <c r="D5" s="13"/>
      <c r="E5" s="12"/>
      <c r="F5" s="13"/>
      <c r="G5" s="13"/>
      <c r="H5" s="12"/>
      <c r="I5" s="12"/>
      <c r="J5" s="13"/>
      <c r="K5" s="12"/>
      <c r="L5" s="12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2"/>
      <c r="AN5" s="12"/>
    </row>
    <row r="6">
      <c r="A6" s="13"/>
      <c r="B6" s="12" t="str">
        <v>PB</v>
      </c>
      <c r="C6" s="12"/>
      <c r="D6" s="13"/>
      <c r="E6" s="12" t="str">
        <v>BQFE</v>
      </c>
      <c r="F6" s="13"/>
      <c r="G6" s="13"/>
      <c r="H6" s="12" t="str">
        <v>BQBE</v>
      </c>
      <c r="I6" s="12"/>
      <c r="J6" s="13"/>
      <c r="K6" s="12" t="str">
        <v>PA</v>
      </c>
      <c r="L6" s="12"/>
      <c r="M6" s="13" t="str">
        <v>PP</v>
      </c>
      <c r="N6" s="13"/>
      <c r="O6" s="13"/>
      <c r="P6" s="13" t="str">
        <v>AR</v>
      </c>
      <c r="Q6" s="13"/>
      <c r="R6" s="13"/>
      <c r="S6" s="13" t="str">
        <v>LC</v>
      </c>
      <c r="T6" s="13"/>
      <c r="U6" s="13"/>
      <c r="V6" s="13" t="str">
        <v>PIM</v>
      </c>
      <c r="W6" s="13"/>
      <c r="X6" s="13"/>
      <c r="Y6" s="13" t="str">
        <v>PA</v>
      </c>
      <c r="Z6" s="13"/>
      <c r="AA6" s="13" t="str">
        <v>DFI_IF</v>
      </c>
      <c r="AB6" s="13"/>
      <c r="AC6" s="13"/>
      <c r="AD6" s="13" t="str">
        <v>WP</v>
      </c>
      <c r="AE6" s="13"/>
      <c r="AF6" s="13"/>
      <c r="AG6" s="13" t="str">
        <v>RDB</v>
      </c>
      <c r="AH6" s="13"/>
      <c r="AI6" s="13"/>
      <c r="AJ6" s="13" t="str">
        <v>RASC</v>
      </c>
      <c r="AK6" s="13"/>
      <c r="AL6" s="13"/>
      <c r="AM6" s="12" t="str">
        <v>LPC</v>
      </c>
      <c r="AN6" s="12"/>
    </row>
    <row r="7">
      <c r="A7" s="13"/>
      <c r="B7" s="12" t="str">
        <v>Prebuffer</v>
      </c>
      <c r="C7" s="12" t="str">
        <v>Configuration</v>
      </c>
      <c r="D7" s="13"/>
      <c r="E7" s="12" t="str">
        <v>BQ FE</v>
      </c>
      <c r="F7" s="13" t="str">
        <v>Configuration</v>
      </c>
      <c r="G7" s="13"/>
      <c r="H7" s="12" t="str">
        <v>BQ BE</v>
      </c>
      <c r="I7" s="12" t="str">
        <v>Configuration</v>
      </c>
      <c r="J7" s="13"/>
      <c r="K7" s="12" t="str">
        <v>Protocol Arbiter</v>
      </c>
      <c r="L7" s="12" t="str">
        <v>Configuration</v>
      </c>
      <c r="M7" s="13" t="str">
        <v>Precharge Prediction</v>
      </c>
      <c r="N7" s="13" t="str">
        <v>Configuration</v>
      </c>
      <c r="O7" s="13"/>
      <c r="P7" s="13" t="str">
        <v>Auto Ref</v>
      </c>
      <c r="Q7" s="13" t="str">
        <v>Configuration</v>
      </c>
      <c r="R7" s="13"/>
      <c r="S7" s="13" t="str">
        <v>LCTRL</v>
      </c>
      <c r="T7" s="13" t="str">
        <v>Configuration</v>
      </c>
      <c r="U7" s="13"/>
      <c r="V7" s="13" t="str">
        <v>PIM</v>
      </c>
      <c r="W7" s="13" t="str">
        <v>Configuration</v>
      </c>
      <c r="X7" s="13"/>
      <c r="Y7" s="13" t="str">
        <v>Protocol Arbiter</v>
      </c>
      <c r="Z7" s="13"/>
      <c r="AA7" s="13" t="str">
        <v>DFI_IF</v>
      </c>
      <c r="AB7" s="13" t="str">
        <v>Configuration</v>
      </c>
      <c r="AC7" s="13"/>
      <c r="AD7" s="13" t="str">
        <v>Write Path</v>
      </c>
      <c r="AE7" s="13" t="str">
        <v>Configuration</v>
      </c>
      <c r="AF7" s="13"/>
      <c r="AG7" s="13" t="str">
        <v>Read Data Buffer</v>
      </c>
      <c r="AH7" s="13" t="str">
        <v>Configuration</v>
      </c>
      <c r="AI7" s="13"/>
      <c r="AJ7" s="13" t="str">
        <v>RASC</v>
      </c>
      <c r="AK7" s="13" t="str">
        <v>Configuration</v>
      </c>
      <c r="AL7" s="13"/>
      <c r="AM7" s="12" t="str">
        <v>LPC</v>
      </c>
      <c r="AN7" s="12" t="str">
        <v>Configuration</v>
      </c>
    </row>
    <row r="8">
      <c r="A8" s="1" t="str">
        <v>DRAM Configuration</v>
      </c>
      <c r="B8" s="10" t="str">
        <v>DDRC_PB_RK_WIDTH</v>
      </c>
      <c r="C8" s="10">
        <v>2</v>
      </c>
      <c r="D8" s="1"/>
      <c r="E8" s="10" t="str">
        <v>DDRC_BQ_RK_WIDTH</v>
      </c>
      <c r="F8" s="10">
        <v>2</v>
      </c>
      <c r="G8" s="1"/>
      <c r="H8" s="1" t="str">
        <v>DDRC_BE_RK_WIDTH</v>
      </c>
      <c r="I8" s="10">
        <v>2</v>
      </c>
      <c r="J8" s="1"/>
      <c r="K8" s="10" t="str">
        <v>DDRC_PA_RK_WIDTH</v>
      </c>
      <c r="L8" s="10">
        <v>2</v>
      </c>
      <c r="M8" s="10" t="str">
        <v>DDRC_PP_RK_WIDTH</v>
      </c>
      <c r="N8" s="10">
        <v>2</v>
      </c>
      <c r="O8" s="1"/>
      <c r="P8" s="1" t="str">
        <v>DDRC_AR_RK_WIDTH</v>
      </c>
      <c r="Q8" s="10">
        <v>2</v>
      </c>
      <c r="R8" s="1"/>
      <c r="S8" s="10" t="str">
        <v>DDRC_LC_BK_WIDTH</v>
      </c>
      <c r="T8" s="10">
        <v>2</v>
      </c>
      <c r="U8" s="1"/>
      <c r="V8" s="10" t="str">
        <v>DDRC_PIM_RK_WIDTH</v>
      </c>
      <c r="W8" s="10">
        <v>4</v>
      </c>
      <c r="X8" s="1"/>
      <c r="Y8" s="10" t="str" xml:space="preserve">
        <v>DDRC_PA_RK_WIDTH </v>
      </c>
      <c r="Z8" s="10">
        <v>2</v>
      </c>
      <c r="AA8" s="1"/>
      <c r="AB8" s="1"/>
      <c r="AC8" s="1"/>
      <c r="AD8" s="10"/>
      <c r="AE8" s="10"/>
      <c r="AF8" s="1"/>
      <c r="AG8" s="2"/>
      <c r="AH8" s="1"/>
      <c r="AI8" s="1"/>
      <c r="AJ8" s="1" t="str">
        <v>DDRC_RASC_RK_WIDTH</v>
      </c>
      <c r="AK8" s="1">
        <v>2</v>
      </c>
      <c r="AL8" s="1"/>
      <c r="AM8" s="1" t="str">
        <v>RANK NUM</v>
      </c>
      <c r="AN8" s="1" t="str">
        <v>4,</v>
      </c>
    </row>
    <row r="9">
      <c r="A9" s="1"/>
      <c r="B9" s="10" t="str">
        <v>DDRC_PB_ROW_WIDTH</v>
      </c>
      <c r="C9" s="10">
        <v>17</v>
      </c>
      <c r="D9" s="1"/>
      <c r="E9" s="10" t="str">
        <v>DDRC_BQ_ROW_WIDTH</v>
      </c>
      <c r="F9" s="10">
        <v>17</v>
      </c>
      <c r="G9" s="1"/>
      <c r="H9" s="1" t="str">
        <v>DDRC_BE_ROW_WIDTH</v>
      </c>
      <c r="I9" s="10">
        <v>17</v>
      </c>
      <c r="J9" s="1"/>
      <c r="K9" s="10" t="str">
        <v>DDRC_PA_ROW_WIDTH</v>
      </c>
      <c r="L9" s="10">
        <v>17</v>
      </c>
      <c r="M9" s="10" t="str">
        <v>DDRC_PP_ROW_WIDTH</v>
      </c>
      <c r="N9" s="10">
        <v>17</v>
      </c>
      <c r="O9" s="1"/>
      <c r="P9" s="1" t="str">
        <v>DDRC_AR_LGRK_WIDTH</v>
      </c>
      <c r="Q9" s="10">
        <v>17</v>
      </c>
      <c r="R9" s="1"/>
      <c r="S9" s="10" t="str">
        <v>DDRC_LC_BG_WIDTH</v>
      </c>
      <c r="T9" s="10">
        <v>3</v>
      </c>
      <c r="U9" s="1"/>
      <c r="V9" s="8"/>
      <c r="W9" s="8"/>
      <c r="X9" s="1"/>
      <c r="Y9" s="10" t="str">
        <v>DDRC_PA_ROW_WIDTH</v>
      </c>
      <c r="Z9" s="10">
        <v>16</v>
      </c>
      <c r="AA9" s="1"/>
      <c r="AB9" s="1"/>
      <c r="AC9" s="1"/>
      <c r="AD9" s="10"/>
      <c r="AE9" s="10"/>
      <c r="AF9" s="1"/>
      <c r="AG9" s="1"/>
      <c r="AH9" s="1"/>
      <c r="AI9" s="1"/>
      <c r="AJ9" s="1" t="str">
        <v>DDRC_RASC_BG_WIDTH</v>
      </c>
      <c r="AK9" s="1">
        <v>2</v>
      </c>
      <c r="AL9" s="1"/>
      <c r="AM9" s="1" t="str">
        <v>DDRC_LPC_PD_IDLE_THR_WIDTH</v>
      </c>
      <c r="AN9" s="1" t="str">
        <v>16,</v>
      </c>
    </row>
    <row r="10">
      <c r="A10" s="1"/>
      <c r="B10" s="10" t="str">
        <v>DDRC_PB_BG_WIDTH</v>
      </c>
      <c r="C10" s="10">
        <v>2</v>
      </c>
      <c r="D10" s="1"/>
      <c r="E10" s="10" t="str">
        <v>DDRC_BQ_BG_WIDTH</v>
      </c>
      <c r="F10" s="10">
        <v>2</v>
      </c>
      <c r="G10" s="1"/>
      <c r="H10" s="1" t="str">
        <v>DDRC_BE_BG_WIDTH</v>
      </c>
      <c r="I10" s="10">
        <v>2</v>
      </c>
      <c r="J10" s="1"/>
      <c r="K10" s="10" t="str">
        <v>DDRC_PA_BG_WIDTH</v>
      </c>
      <c r="L10" s="10">
        <v>2</v>
      </c>
      <c r="M10" s="10" t="str">
        <v>DDRC_PP_BG_WIDTH</v>
      </c>
      <c r="N10" s="10">
        <v>2</v>
      </c>
      <c r="O10" s="1"/>
      <c r="P10" s="1" t="str">
        <v>DDRC_AR_ADDR_WIDTH</v>
      </c>
      <c r="Q10" s="10">
        <v>2</v>
      </c>
      <c r="R10" s="1"/>
      <c r="S10" s="10" t="str">
        <v>DDRC_LC_LRK_WIDTH</v>
      </c>
      <c r="T10" s="10">
        <v>1</v>
      </c>
      <c r="U10" s="1"/>
      <c r="V10" s="10"/>
      <c r="W10" s="10"/>
      <c r="X10" s="1"/>
      <c r="Y10" s="10" t="str" xml:space="preserve">
        <v>DDRC_PA_BG_WIDTH </v>
      </c>
      <c r="Z10" s="10">
        <v>2</v>
      </c>
      <c r="AA10" s="1"/>
      <c r="AB10" s="1"/>
      <c r="AC10" s="1"/>
      <c r="AD10" s="10"/>
      <c r="AE10" s="10"/>
      <c r="AF10" s="1"/>
      <c r="AG10" s="1"/>
      <c r="AH10" s="1"/>
      <c r="AI10" s="1"/>
      <c r="AJ10" s="1" t="str">
        <v>DDRC_RASC_BA_WIDTH</v>
      </c>
      <c r="AK10" s="1">
        <v>2</v>
      </c>
      <c r="AL10" s="1"/>
      <c r="AM10" s="1" t="str">
        <v>DDRC LPC SR_IDLE_THR_WIDTH</v>
      </c>
      <c r="AN10" s="1">
        <v>16</v>
      </c>
    </row>
    <row r="11">
      <c r="A11" s="1"/>
      <c r="B11" s="10" t="str">
        <v>DDRC_PB_BK_WIDTH</v>
      </c>
      <c r="C11" s="10">
        <v>2</v>
      </c>
      <c r="D11" s="1"/>
      <c r="E11" s="10" t="str">
        <v>DDRC_BQ_BK_WIDTH</v>
      </c>
      <c r="F11" s="10">
        <v>2</v>
      </c>
      <c r="G11" s="1"/>
      <c r="H11" s="1" t="str">
        <v>DDRC_BE_BK_WIDTH</v>
      </c>
      <c r="I11" s="10">
        <v>2</v>
      </c>
      <c r="J11" s="1"/>
      <c r="K11" s="10" t="str">
        <v>DDRC_PA_BK_WIDTH</v>
      </c>
      <c r="L11" s="10">
        <v>2</v>
      </c>
      <c r="M11" s="10" t="str">
        <v>DDRC_PP_BK_WIDTH</v>
      </c>
      <c r="N11" s="10">
        <v>2</v>
      </c>
      <c r="O11" s="1"/>
      <c r="P11" s="1" t="str">
        <v>DDRC_AR_BA_WIDTH</v>
      </c>
      <c r="Q11" s="10">
        <v>2</v>
      </c>
      <c r="R11" s="1"/>
      <c r="S11" s="10" t="str">
        <v>DDRC_LC_RK_WIDTH</v>
      </c>
      <c r="T11" s="10">
        <v>2</v>
      </c>
      <c r="U11" s="1"/>
      <c r="V11" s="10"/>
      <c r="W11" s="10"/>
      <c r="X11" s="1"/>
      <c r="Y11" s="10" t="str" xml:space="preserve">
        <v>DDRC_PA_BK_WIDTH </v>
      </c>
      <c r="Z11" s="10">
        <v>2</v>
      </c>
      <c r="AA11" s="1"/>
      <c r="AB11" s="1"/>
      <c r="AC11" s="1"/>
      <c r="AD11" s="10"/>
      <c r="AE11" s="10"/>
      <c r="AF11" s="1"/>
      <c r="AG11" s="1"/>
      <c r="AH11" s="1"/>
      <c r="AI11" s="1"/>
      <c r="AJ11" s="1" t="str">
        <v>DDRC_RASC_ROW_WIDTH</v>
      </c>
      <c r="AK11" s="1">
        <v>17</v>
      </c>
      <c r="AL11" s="2"/>
      <c r="AM11" s="1" t="str">
        <v>DDRC_LPC_LP1_IDLE_TH_WIDTH</v>
      </c>
      <c r="AN11" s="1" t="str">
        <v>16,</v>
      </c>
    </row>
    <row r="12">
      <c r="A12" s="1"/>
      <c r="B12" s="10" t="str">
        <v>DDRC_PB_COL_WIDTH</v>
      </c>
      <c r="C12" s="10">
        <v>2</v>
      </c>
      <c r="D12" s="1"/>
      <c r="E12" s="10" t="str">
        <v>DDRC_BQ_COL_WIDTH</v>
      </c>
      <c r="F12" s="10">
        <v>2</v>
      </c>
      <c r="G12" s="1"/>
      <c r="H12" s="1" t="str">
        <v>DDRC_BE_COL_WIDTH</v>
      </c>
      <c r="I12" s="10">
        <v>2</v>
      </c>
      <c r="J12" s="1"/>
      <c r="K12" s="10" t="str">
        <v>DDRC_PA_SC_WIDTH</v>
      </c>
      <c r="L12" s="10">
        <v>1</v>
      </c>
      <c r="M12" s="10" t="str">
        <v>DDRC_PP_COL_WIDTH</v>
      </c>
      <c r="N12" s="10">
        <v>2</v>
      </c>
      <c r="O12" s="1"/>
      <c r="P12" s="1"/>
      <c r="Q12" s="10"/>
      <c r="R12" s="1"/>
      <c r="S12" s="10"/>
      <c r="T12" s="10"/>
      <c r="U12" s="1"/>
      <c r="V12" s="10"/>
      <c r="W12" s="10"/>
      <c r="X12" s="1"/>
      <c r="Y12" s="10" t="str" xml:space="preserve">
        <v>DDRC_PA_SC_WIDTH </v>
      </c>
      <c r="Z12" s="10">
        <v>1</v>
      </c>
      <c r="AA12" s="1"/>
      <c r="AB12" s="1"/>
      <c r="AC12" s="1"/>
      <c r="AD12" s="10"/>
      <c r="AE12" s="10"/>
      <c r="AF12" s="1"/>
      <c r="AG12" s="1"/>
      <c r="AH12" s="1"/>
      <c r="AI12" s="1"/>
      <c r="AJ12" s="1" t="str">
        <v>DDRC_RASC_COL_WIDTH</v>
      </c>
      <c r="AK12" s="1">
        <v>6</v>
      </c>
      <c r="AL12" s="2"/>
      <c r="AM12" s="1" t="str">
        <v>DDRC LPC T CSPD WIDTH</v>
      </c>
      <c r="AN12" s="1" t="str">
        <v>8,</v>
      </c>
    </row>
    <row r="13">
      <c r="A13" s="1"/>
      <c r="B13" s="10" t="str">
        <v>DDRC_PP_SC_WIDTH</v>
      </c>
      <c r="C13" s="10">
        <v>1</v>
      </c>
      <c r="D13" s="1"/>
      <c r="E13" s="10" t="str">
        <v>DDRC_BQ_LRANK_WIDTH</v>
      </c>
      <c r="F13" s="10">
        <v>0</v>
      </c>
      <c r="G13" s="1"/>
      <c r="H13" s="1" t="str">
        <v>DDRC_BE_LRK_WIDTH</v>
      </c>
      <c r="I13" s="1">
        <v>0</v>
      </c>
      <c r="J13" s="1"/>
      <c r="K13" s="10"/>
      <c r="L13" s="10"/>
      <c r="M13" s="10"/>
      <c r="N13" s="10"/>
      <c r="O13" s="1"/>
      <c r="P13" s="1"/>
      <c r="Q13" s="1"/>
      <c r="R13" s="1"/>
      <c r="S13" s="10"/>
      <c r="T13" s="10"/>
      <c r="U13" s="1"/>
      <c r="V13" s="10"/>
      <c r="W13" s="10"/>
      <c r="X13" s="1"/>
      <c r="Y13" s="10"/>
      <c r="Z13" s="10"/>
      <c r="AA13" s="1"/>
      <c r="AB13" s="1"/>
      <c r="AC13" s="1"/>
      <c r="AD13" s="10"/>
      <c r="AE13" s="10"/>
      <c r="AF13" s="1"/>
      <c r="AG13" s="1"/>
      <c r="AH13" s="1"/>
      <c r="AI13" s="1"/>
      <c r="AJ13" s="1" t="str">
        <v>DDRC_RASC_ADDR_WIDTH</v>
      </c>
      <c r="AK13" s="1">
        <v>29</v>
      </c>
      <c r="AL13" s="2"/>
      <c r="AM13" s="1" t="str">
        <v>DDRC LPC T SR_WIDTH</v>
      </c>
      <c r="AN13" s="1" t="str">
        <v>8,</v>
      </c>
    </row>
    <row r="14">
      <c r="A14" s="1"/>
      <c r="B14" s="10"/>
      <c r="C14" s="10"/>
      <c r="D14" s="1"/>
      <c r="E14" s="10" t="str">
        <v>DDRC_BQ_PC_WIDTH</v>
      </c>
      <c r="F14" s="1">
        <v>1</v>
      </c>
      <c r="G14" s="1"/>
      <c r="H14" s="1" t="str">
        <v>DDRC_BE_PSCH_WIDTH</v>
      </c>
      <c r="I14" s="1">
        <v>0</v>
      </c>
      <c r="J14" s="1"/>
      <c r="K14" s="10"/>
      <c r="L14" s="10"/>
      <c r="M14" s="10"/>
      <c r="N14" s="10"/>
      <c r="O14" s="1"/>
      <c r="P14" s="1"/>
      <c r="Q14" s="1"/>
      <c r="R14" s="1"/>
      <c r="S14" s="10"/>
      <c r="T14" s="10"/>
      <c r="U14" s="1"/>
      <c r="V14" s="10"/>
      <c r="W14" s="10"/>
      <c r="X14" s="1"/>
      <c r="Y14" s="10"/>
      <c r="Z14" s="10"/>
      <c r="AA14" s="1"/>
      <c r="AB14" s="1"/>
      <c r="AC14" s="1"/>
      <c r="AD14" s="10"/>
      <c r="AE14" s="10"/>
      <c r="AF14" s="1"/>
      <c r="AG14" s="1"/>
      <c r="AH14" s="1"/>
      <c r="AI14" s="1"/>
      <c r="AJ14" s="1"/>
      <c r="AK14" s="1"/>
      <c r="AL14" s="2"/>
      <c r="AM14" s="1" t="str">
        <v>DDRC LPC T CTRL DELAY WIDTH</v>
      </c>
      <c r="AN14" s="1" t="str">
        <v>5,</v>
      </c>
    </row>
    <row r="15">
      <c r="A15" s="1"/>
      <c r="B15" s="10"/>
      <c r="C15" s="10"/>
      <c r="D15" s="1"/>
      <c r="E15" s="10" t="str">
        <v>DDRC_BQ_SC_WIDTH</v>
      </c>
      <c r="F15" s="1">
        <v>1</v>
      </c>
      <c r="G15" s="1"/>
      <c r="H15" s="1"/>
      <c r="I15" s="1"/>
      <c r="J15" s="1"/>
      <c r="K15" s="10"/>
      <c r="L15" s="10"/>
      <c r="M15" s="10"/>
      <c r="N15" s="10"/>
      <c r="O15" s="1"/>
      <c r="P15" s="1"/>
      <c r="Q15" s="1"/>
      <c r="R15" s="1"/>
      <c r="S15" s="10"/>
      <c r="T15" s="10"/>
      <c r="U15" s="1"/>
      <c r="V15" s="10"/>
      <c r="W15" s="10"/>
      <c r="X15" s="1"/>
      <c r="Y15" s="10"/>
      <c r="Z15" s="10"/>
      <c r="AA15" s="1"/>
      <c r="AB15" s="1"/>
      <c r="AC15" s="1"/>
      <c r="AD15" s="10"/>
      <c r="AE15" s="10"/>
      <c r="AF15" s="1"/>
      <c r="AG15" s="1"/>
      <c r="AH15" s="1"/>
      <c r="AI15" s="1"/>
      <c r="AJ15" s="1"/>
      <c r="AK15" s="1"/>
      <c r="AL15" s="2"/>
      <c r="AM15" s="1" t="str">
        <v>DDRC_LPC_T_LP_RESP WIDTH</v>
      </c>
      <c r="AN15" s="1" t="str">
        <v>= 8,</v>
      </c>
    </row>
    <row r="16">
      <c r="A16" s="1"/>
      <c r="B16" s="10"/>
      <c r="C16" s="10"/>
      <c r="D16" s="1"/>
      <c r="E16" s="1"/>
      <c r="F16" s="1"/>
      <c r="G16" s="1"/>
      <c r="H16" s="1"/>
      <c r="I16" s="1"/>
      <c r="J16" s="1"/>
      <c r="K16" s="10"/>
      <c r="L16" s="10"/>
      <c r="M16" s="10"/>
      <c r="N16" s="10"/>
      <c r="O16" s="1"/>
      <c r="P16" s="1"/>
      <c r="Q16" s="1"/>
      <c r="R16" s="1"/>
      <c r="S16" s="10"/>
      <c r="T16" s="10"/>
      <c r="U16" s="1"/>
      <c r="V16" s="10"/>
      <c r="W16" s="10"/>
      <c r="X16" s="1"/>
      <c r="Y16" s="10"/>
      <c r="Z16" s="10"/>
      <c r="AA16" s="1"/>
      <c r="AB16" s="1"/>
      <c r="AC16" s="1"/>
      <c r="AD16" s="10"/>
      <c r="AE16" s="10"/>
      <c r="AF16" s="1"/>
      <c r="AG16" s="1"/>
      <c r="AH16" s="1"/>
      <c r="AI16" s="1"/>
      <c r="AJ16" s="1"/>
      <c r="AK16" s="1"/>
      <c r="AL16" s="2"/>
      <c r="AM16" s="1" t="str">
        <v>DDRC_LPC_T_CSLCK WIDTH</v>
      </c>
      <c r="AN16" s="1" t="str">
        <v>6,</v>
      </c>
    </row>
    <row r="17">
      <c r="A17" s="1"/>
      <c r="B17" s="10"/>
      <c r="C17" s="10"/>
      <c r="D17" s="1"/>
      <c r="E17" s="1"/>
      <c r="F17" s="1"/>
      <c r="G17" s="1"/>
      <c r="H17" s="1"/>
      <c r="I17" s="1"/>
      <c r="J17" s="1"/>
      <c r="K17" s="10"/>
      <c r="L17" s="10"/>
      <c r="M17" s="10"/>
      <c r="N17" s="10"/>
      <c r="O17" s="1"/>
      <c r="P17" s="1"/>
      <c r="Q17" s="1"/>
      <c r="R17" s="1"/>
      <c r="S17" s="10"/>
      <c r="T17" s="10"/>
      <c r="U17" s="1"/>
      <c r="V17" s="10"/>
      <c r="W17" s="10"/>
      <c r="X17" s="1"/>
      <c r="Y17" s="10"/>
      <c r="Z17" s="10"/>
      <c r="AA17" s="1"/>
      <c r="AB17" s="1"/>
      <c r="AC17" s="1"/>
      <c r="AD17" s="10"/>
      <c r="AE17" s="10"/>
      <c r="AF17" s="1"/>
      <c r="AG17" s="1"/>
      <c r="AH17" s="1"/>
      <c r="AI17" s="1"/>
      <c r="AJ17" s="1"/>
      <c r="AK17" s="1"/>
      <c r="AL17" s="2"/>
      <c r="AM17" s="1" t="str">
        <v>DDRC LPC_T_CKCSH_WIDTH</v>
      </c>
      <c r="AN17" s="1" t="str">
        <v>= 6,</v>
      </c>
    </row>
    <row r="18">
      <c r="A18" s="1" t="str">
        <v>ADDR &amp; DATA &amp; QOS &amp; ID</v>
      </c>
      <c r="B18" s="10" t="str">
        <v>DDRC PB QOS WIDTH</v>
      </c>
      <c r="C18" s="10">
        <v>2</v>
      </c>
      <c r="D18" s="1"/>
      <c r="E18" s="1" t="str">
        <v>DDRC_BQ_QOS_WIDTH</v>
      </c>
      <c r="F18" s="1">
        <v>4</v>
      </c>
      <c r="G18" s="1"/>
      <c r="H18" s="1" t="str">
        <v>DDRC_BE_QOS_WIDTH</v>
      </c>
      <c r="I18" s="1">
        <v>2</v>
      </c>
      <c r="J18" s="1"/>
      <c r="K18" s="10" t="str">
        <v>DDRC_PA_QOS_WIDTH</v>
      </c>
      <c r="L18" s="10">
        <v>4</v>
      </c>
      <c r="M18" s="10"/>
      <c r="N18" s="10"/>
      <c r="O18" s="1"/>
      <c r="P18" s="1" t="str">
        <v>DDRC_AR_QOS_WIDTH</v>
      </c>
      <c r="Q18" s="1">
        <f>2</f>
      </c>
      <c r="R18" s="1"/>
      <c r="S18" s="10" t="str">
        <v>DDRC_LC_ADDR_WIDTH</v>
      </c>
      <c r="T18" s="10">
        <v>10</v>
      </c>
      <c r="U18" s="1"/>
      <c r="V18" s="10" t="str">
        <v>DDRC_PIM_ADDR_WIDTH</v>
      </c>
      <c r="W18" s="10">
        <v>10</v>
      </c>
      <c r="X18" s="1"/>
      <c r="Y18" s="10" t="str">
        <v>DDRC_PA_QOS_WIDTH</v>
      </c>
      <c r="Z18" s="10">
        <v>4</v>
      </c>
      <c r="AA18" s="1" t="str">
        <v>ID_WIDTH</v>
      </c>
      <c r="AB18" s="1" t="str">
        <v>16,</v>
      </c>
      <c r="AC18" s="1"/>
      <c r="AD18" s="10" t="str">
        <v>DDRC_WP_DATA_WIDTH</v>
      </c>
      <c r="AE18" s="10">
        <v>512</v>
      </c>
      <c r="AF18" s="1"/>
      <c r="AG18" s="1" t="str">
        <v>DDRC_RDB_DFI_DATA_WIDTH</v>
      </c>
      <c r="AH18" s="1">
        <v>48</v>
      </c>
      <c r="AI18" s="1"/>
      <c r="AJ18" s="1" t="str">
        <v>DDRC_RASC_QOS_WIDTH</v>
      </c>
      <c r="AK18" s="1">
        <v>4</v>
      </c>
      <c r="AL18" s="2"/>
      <c r="AM18" s="1" t="str">
        <v>DDRC LPC T RCD WIDTH</v>
      </c>
      <c r="AN18" s="1" t="str">
        <v>6,</v>
      </c>
    </row>
    <row r="19">
      <c r="A19" s="1"/>
      <c r="B19" s="10" t="str">
        <v>DDRC PB ADDR WIDTH</v>
      </c>
      <c r="C19" s="10">
        <f>35</f>
      </c>
      <c r="D19" s="1"/>
      <c r="E19" s="1" t="str">
        <v>DDRC_BQ_CMD_INFO_WIDTH</v>
      </c>
      <c r="F19" s="1">
        <v>100</v>
      </c>
      <c r="G19" s="1"/>
      <c r="H19" s="1" t="str">
        <v>DDRC_BE_RDWR TYPE WIDTH</v>
      </c>
      <c r="I19" s="1">
        <v>4</v>
      </c>
      <c r="J19" s="1"/>
      <c r="K19" s="10" t="str">
        <v>DDRC_PA_RD_INFO_WIDTH</v>
      </c>
      <c r="L19" s="10">
        <v>256</v>
      </c>
      <c r="M19" s="10"/>
      <c r="N19" s="10"/>
      <c r="O19" s="1"/>
      <c r="P19" s="1"/>
      <c r="Q19" s="1"/>
      <c r="R19" s="1"/>
      <c r="S19" s="10"/>
      <c r="T19" s="10"/>
      <c r="U19" s="1"/>
      <c r="V19" s="10"/>
      <c r="W19" s="10"/>
      <c r="X19" s="1"/>
      <c r="Y19" s="10" t="str">
        <v>DDRC_PA_RD_INFO_WIDTH</v>
      </c>
      <c r="Z19" s="10">
        <v>16</v>
      </c>
      <c r="AA19" s="1" t="str">
        <v>USER_WIDTH</v>
      </c>
      <c r="AB19" s="1" t="str">
        <v>16,</v>
      </c>
      <c r="AC19" s="1"/>
      <c r="AD19" s="10" t="str">
        <v>DDRC_WP_ADDR_WIDTH</v>
      </c>
      <c r="AE19" s="10">
        <v>35</v>
      </c>
      <c r="AF19" s="1"/>
      <c r="AG19" s="1" t="str">
        <v>DDRC_RDB_DATA_WIDTH</v>
      </c>
      <c r="AH19" s="1">
        <v>512</v>
      </c>
      <c r="AI19" s="1"/>
      <c r="AJ19" s="1" t="str">
        <v>DDRC_RASC_DATA_WIDTH</v>
      </c>
      <c r="AK19" s="1">
        <v>512</v>
      </c>
      <c r="AL19" s="2"/>
      <c r="AM19" s="1" t="str">
        <v>DDRC LPC T RPAB WIDTH</v>
      </c>
      <c r="AN19" s="1" t="str">
        <v>6,</v>
      </c>
    </row>
    <row r="20">
      <c r="A20" s="1"/>
      <c r="B20" s="10" t="str">
        <v>DDRC PB DATA WIDTH</v>
      </c>
      <c r="C20" s="10">
        <v>512</v>
      </c>
      <c r="D20" s="1"/>
      <c r="E20" s="1" t="str">
        <v>DDRC_BQ_QOS_ORG_WIDTH</v>
      </c>
      <c r="F20" s="1">
        <v>2</v>
      </c>
      <c r="G20" s="1"/>
      <c r="H20" s="2" t="str">
        <v>DDRC_BE_RDWR_INFO_WIDTH</v>
      </c>
      <c r="I20" s="1">
        <v>40</v>
      </c>
      <c r="J20" s="1"/>
      <c r="K20" s="10" t="str">
        <v>DDRC_PA_WR_INFO_WIDTH</v>
      </c>
      <c r="L20" s="10">
        <v>128</v>
      </c>
      <c r="M20" s="10"/>
      <c r="N20" s="10"/>
      <c r="O20" s="1"/>
      <c r="P20" s="1"/>
      <c r="Q20" s="1"/>
      <c r="R20" s="1"/>
      <c r="S20" s="10"/>
      <c r="T20" s="10"/>
      <c r="U20" s="1"/>
      <c r="V20" s="10"/>
      <c r="W20" s="10"/>
      <c r="X20" s="1"/>
      <c r="Y20" s="10" t="str">
        <v>DDRC_PA_WR_INFO_WIDTH</v>
      </c>
      <c r="Z20" s="10">
        <v>16</v>
      </c>
      <c r="AA20" s="1"/>
      <c r="AB20" s="1"/>
      <c r="AC20" s="1"/>
      <c r="AD20" s="10" t="str">
        <v>DDRC_WP_RESP_INFO</v>
      </c>
      <c r="AE20" s="10">
        <f>135</f>
      </c>
      <c r="AF20" s="1"/>
      <c r="AG20" s="1" t="str">
        <v>DDRC_RDB_ADDR_WIDTH</v>
      </c>
      <c r="AH20" s="1">
        <v>48</v>
      </c>
      <c r="AI20" s="1"/>
      <c r="AJ20" s="1" t="str">
        <v>DDRC_RASC_POISON_WIDTH</v>
      </c>
      <c r="AK20" s="1">
        <v>8</v>
      </c>
      <c r="AL20" s="2"/>
      <c r="AM20" s="1" t="str">
        <v>DDRC LPC T RPPB WIDTH</v>
      </c>
      <c r="AN20" s="1" t="str">
        <v>6,</v>
      </c>
    </row>
    <row r="21">
      <c r="A21" s="1"/>
      <c r="B21" s="10" t="str">
        <v>DDRC PB ID WIDTH</v>
      </c>
      <c r="C21" s="10">
        <f>10</f>
      </c>
      <c r="D21" s="1"/>
      <c r="E21" s="1" t="str">
        <v>DDRC_BQ_ID_WIDTH</v>
      </c>
      <c r="F21" s="1">
        <v>12</v>
      </c>
      <c r="G21" s="1"/>
      <c r="H21" s="1" t="str">
        <v>DDRC_BE_ACTPRE_INFO_WIDTH</v>
      </c>
      <c r="I21" s="1">
        <v>40</v>
      </c>
      <c r="J21" s="1"/>
      <c r="K21" s="10"/>
      <c r="L21" s="10"/>
      <c r="M21" s="10"/>
      <c r="N21" s="10"/>
      <c r="O21" s="1"/>
      <c r="P21" s="1"/>
      <c r="Q21" s="1"/>
      <c r="R21" s="1"/>
      <c r="S21" s="10"/>
      <c r="T21" s="10"/>
      <c r="U21" s="1"/>
      <c r="V21" s="10"/>
      <c r="W21" s="10"/>
      <c r="X21" s="1"/>
      <c r="Y21" s="10"/>
      <c r="Z21" s="10"/>
      <c r="AA21" s="1"/>
      <c r="AB21" s="1"/>
      <c r="AC21" s="1"/>
      <c r="AD21" s="10" t="str">
        <v>DDRC WP_ECC_WIDTH</v>
      </c>
      <c r="AE21" s="10">
        <v>128</v>
      </c>
      <c r="AF21" s="1"/>
      <c r="AG21" s="1" t="str">
        <v>DDRC_RDB_ID_WIDTH</v>
      </c>
      <c r="AH21" s="1">
        <v>12</v>
      </c>
      <c r="AI21" s="1"/>
      <c r="AJ21" s="1" t="str">
        <v>DDRC_RASC_WR_INFO_WIDTH</v>
      </c>
      <c r="AK21" s="1">
        <v>32</v>
      </c>
      <c r="AL21" s="2"/>
      <c r="AM21" s="1" t="str">
        <v>DDRC_LPC_T_DRAM CLK_DIS_WIDTH =</v>
      </c>
      <c r="AN21" s="1" t="str">
        <v>4,</v>
      </c>
    </row>
    <row r="22">
      <c r="A22" s="1"/>
      <c r="B22" s="10" t="str">
        <v>DDRC_PB_RD_INFO_WIDTH</v>
      </c>
      <c r="C22" s="10">
        <v>135</v>
      </c>
      <c r="D22" s="1"/>
      <c r="E22" s="1" t="str">
        <v>DDRC_BQ_RD_SRC_WIDTH</v>
      </c>
      <c r="F22" s="1">
        <v>4</v>
      </c>
      <c r="G22" s="1"/>
      <c r="H22" s="2"/>
      <c r="I22" s="2"/>
      <c r="J22" s="1"/>
      <c r="K22" s="10"/>
      <c r="L22" s="10"/>
      <c r="M22" s="10"/>
      <c r="N22" s="10"/>
      <c r="O22" s="1"/>
      <c r="P22" s="1"/>
      <c r="Q22" s="1"/>
      <c r="R22" s="1"/>
      <c r="S22" s="10"/>
      <c r="T22" s="10"/>
      <c r="U22" s="1"/>
      <c r="V22" s="10"/>
      <c r="W22" s="10"/>
      <c r="X22" s="1"/>
      <c r="Y22" s="8"/>
      <c r="Z22" s="8"/>
      <c r="AA22" s="1"/>
      <c r="AB22" s="1"/>
      <c r="AC22" s="1"/>
      <c r="AD22" s="10"/>
      <c r="AE22" s="10"/>
      <c r="AF22" s="1"/>
      <c r="AG22" s="1" t="str">
        <v>DDRC_RDB_RD_SRC_WIDTH</v>
      </c>
      <c r="AH22" s="1">
        <v>4</v>
      </c>
      <c r="AI22" s="1"/>
      <c r="AJ22" s="1" t="str">
        <v>DDRC_RASC_RD_INFO_WIDTH</v>
      </c>
      <c r="AK22" s="1">
        <v>50</v>
      </c>
      <c r="AL22" s="2"/>
      <c r="AM22" s="1"/>
      <c r="AN22" s="1"/>
    </row>
    <row r="23">
      <c r="A23" s="1"/>
      <c r="B23" s="10" t="str">
        <v>DDRC_PB_WR_INFO_WIDTH</v>
      </c>
      <c r="C23" s="10">
        <v>1</v>
      </c>
      <c r="D23" s="1"/>
      <c r="E23" s="1" t="str">
        <v>DDRC_BQ_RD_ID_WIDTH</v>
      </c>
      <c r="F23" s="1">
        <v>12</v>
      </c>
      <c r="G23" s="1"/>
      <c r="H23" s="1"/>
      <c r="I23" s="1"/>
      <c r="J23" s="1"/>
      <c r="K23" s="10"/>
      <c r="L23" s="10"/>
      <c r="M23" s="10"/>
      <c r="N23" s="10"/>
      <c r="O23" s="1"/>
      <c r="P23" s="1"/>
      <c r="Q23" s="1"/>
      <c r="R23" s="1"/>
      <c r="S23" s="10"/>
      <c r="T23" s="10"/>
      <c r="U23" s="1"/>
      <c r="V23" s="10"/>
      <c r="W23" s="10"/>
      <c r="X23" s="1"/>
      <c r="Y23" s="8"/>
      <c r="Z23" s="8"/>
      <c r="AA23" s="1"/>
      <c r="AB23" s="1"/>
      <c r="AC23" s="1"/>
      <c r="AD23" s="10"/>
      <c r="AE23" s="10"/>
      <c r="AF23" s="1"/>
      <c r="AG23" s="1" t="str">
        <v>DDRC_RDB_ECC_WIDTH</v>
      </c>
      <c r="AH23" s="1">
        <v>32</v>
      </c>
      <c r="AI23" s="1"/>
      <c r="AJ23" s="1" t="str">
        <v>DDRC_RASC_ECC_WIDTH</v>
      </c>
      <c r="AK23" s="1">
        <v>32</v>
      </c>
      <c r="AL23" s="2"/>
      <c r="AM23" s="1" t="str">
        <v>DDRC LPC T DRAM CLK_EN WIDTH</v>
      </c>
      <c r="AN23" s="1" t="str">
        <v>4,</v>
      </c>
    </row>
    <row r="24">
      <c r="A24" s="1"/>
      <c r="B24" s="10"/>
      <c r="C24" s="10"/>
      <c r="D24" s="1"/>
      <c r="E24" s="1"/>
      <c r="F24" s="2"/>
      <c r="G24" s="1"/>
      <c r="H24" s="1"/>
      <c r="I24" s="1"/>
      <c r="J24" s="1"/>
      <c r="K24" s="10"/>
      <c r="L24" s="10"/>
      <c r="M24" s="10"/>
      <c r="N24" s="10"/>
      <c r="O24" s="1"/>
      <c r="P24" s="1"/>
      <c r="Q24" s="1"/>
      <c r="R24" s="1"/>
      <c r="S24" s="10"/>
      <c r="T24" s="10"/>
      <c r="U24" s="1"/>
      <c r="V24" s="10"/>
      <c r="W24" s="10"/>
      <c r="X24" s="1"/>
      <c r="Y24" s="10"/>
      <c r="Z24" s="10"/>
      <c r="AA24" s="1"/>
      <c r="AB24" s="1"/>
      <c r="AC24" s="1"/>
      <c r="AD24" s="10"/>
      <c r="AE24" s="10"/>
      <c r="AF24" s="1"/>
      <c r="AG24" s="1" t="str">
        <v>DDRC_RDB_DBI_WIDTH</v>
      </c>
      <c r="AH24" s="1">
        <v>32</v>
      </c>
      <c r="AI24" s="1"/>
      <c r="AJ24" s="1" t="str">
        <v>DDRC_RASC_ERR_INFO_WIDTH</v>
      </c>
      <c r="AK24" s="1" t="str">
        <v>1170+ADDR_WIDTH</v>
      </c>
      <c r="AL24" s="2"/>
      <c r="AM24" s="1"/>
      <c r="AN24" s="1"/>
    </row>
    <row r="25">
      <c r="A25" s="1"/>
      <c r="B25" s="10"/>
      <c r="C25" s="10"/>
      <c r="D25" s="1"/>
      <c r="E25" s="1"/>
      <c r="F25" s="2"/>
      <c r="G25" s="1"/>
      <c r="H25" s="1"/>
      <c r="I25" s="1"/>
      <c r="J25" s="1"/>
      <c r="K25" s="10"/>
      <c r="L25" s="10"/>
      <c r="M25" s="10"/>
      <c r="N25" s="10"/>
      <c r="O25" s="1"/>
      <c r="P25" s="1"/>
      <c r="Q25" s="1"/>
      <c r="R25" s="1"/>
      <c r="S25" s="10"/>
      <c r="T25" s="10"/>
      <c r="U25" s="1"/>
      <c r="V25" s="10"/>
      <c r="W25" s="10"/>
      <c r="X25" s="1"/>
      <c r="Y25" s="10"/>
      <c r="Z25" s="10"/>
      <c r="AA25" s="1"/>
      <c r="AB25" s="1"/>
      <c r="AC25" s="1"/>
      <c r="AD25" s="10"/>
      <c r="AE25" s="10"/>
      <c r="AF25" s="1"/>
      <c r="AG25" s="1" t="str">
        <v>DDRC_RDB_CMD_INFO_WIDTH</v>
      </c>
      <c r="AH25" s="1">
        <v>80</v>
      </c>
      <c r="AI25" s="1"/>
      <c r="AJ25" s="1" t="str">
        <v>DDRC_RASC_CMD_SRC_WIDTH</v>
      </c>
      <c r="AK25" s="1">
        <v>4</v>
      </c>
      <c r="AL25" s="2"/>
      <c r="AM25" s="1"/>
      <c r="AN25" s="1"/>
    </row>
    <row r="26">
      <c r="A26" s="1"/>
      <c r="B26" s="10"/>
      <c r="C26" s="10"/>
      <c r="D26" s="1"/>
      <c r="E26" s="1"/>
      <c r="F26" s="2"/>
      <c r="G26" s="1"/>
      <c r="H26" s="1"/>
      <c r="I26" s="1"/>
      <c r="J26" s="1"/>
      <c r="K26" s="10"/>
      <c r="L26" s="10"/>
      <c r="M26" s="10"/>
      <c r="N26" s="10"/>
      <c r="O26" s="1"/>
      <c r="P26" s="1"/>
      <c r="Q26" s="1"/>
      <c r="R26" s="1"/>
      <c r="S26" s="10"/>
      <c r="T26" s="10"/>
      <c r="U26" s="1"/>
      <c r="V26" s="10"/>
      <c r="W26" s="10"/>
      <c r="X26" s="1"/>
      <c r="Y26" s="10"/>
      <c r="Z26" s="10"/>
      <c r="AA26" s="1"/>
      <c r="AB26" s="1"/>
      <c r="AC26" s="1"/>
      <c r="AD26" s="10"/>
      <c r="AE26" s="10"/>
      <c r="AF26" s="1"/>
      <c r="AG26" s="1"/>
      <c r="AH26" s="1"/>
      <c r="AI26" s="1"/>
      <c r="AJ26" s="1" t="str">
        <v>DDRC_RASC_ID_WIDTH</v>
      </c>
      <c r="AK26" s="1">
        <v>12</v>
      </c>
      <c r="AL26" s="2"/>
      <c r="AM26" s="1"/>
      <c r="AN26" s="1"/>
    </row>
    <row r="27">
      <c r="A27" s="1"/>
      <c r="B27" s="10"/>
      <c r="C27" s="10"/>
      <c r="D27" s="1"/>
      <c r="E27" s="1"/>
      <c r="F27" s="2"/>
      <c r="G27" s="1"/>
      <c r="H27" s="1"/>
      <c r="I27" s="1"/>
      <c r="J27" s="1"/>
      <c r="K27" s="10"/>
      <c r="L27" s="10"/>
      <c r="M27" s="10"/>
      <c r="N27" s="10"/>
      <c r="O27" s="1"/>
      <c r="P27" s="1"/>
      <c r="Q27" s="1"/>
      <c r="R27" s="1"/>
      <c r="S27" s="10"/>
      <c r="T27" s="10"/>
      <c r="U27" s="1"/>
      <c r="V27" s="10"/>
      <c r="W27" s="10"/>
      <c r="X27" s="1"/>
      <c r="Y27" s="10"/>
      <c r="Z27" s="10"/>
      <c r="AA27" s="1"/>
      <c r="AB27" s="1"/>
      <c r="AC27" s="1"/>
      <c r="AD27" s="10"/>
      <c r="AE27" s="10"/>
      <c r="AF27" s="1"/>
      <c r="AG27" s="1"/>
      <c r="AH27" s="1"/>
      <c r="AI27" s="1"/>
      <c r="AJ27" s="1" t="str">
        <v>DDRC_RASC_INFO_WIDTH</v>
      </c>
      <c r="AK27" s="1">
        <v>50</v>
      </c>
      <c r="AL27" s="2"/>
      <c r="AM27" s="1"/>
      <c r="AN27" s="1"/>
    </row>
    <row r="28">
      <c r="A28" s="1" t="str">
        <v>Bank Queue &amp; BSM Number</v>
      </c>
      <c r="B28" s="10"/>
      <c r="C28" s="10"/>
      <c r="D28" s="1"/>
      <c r="E28" s="1" t="str">
        <v>DDRC_BQ_BQ_NUM</v>
      </c>
      <c r="F28" s="2">
        <v>4</v>
      </c>
      <c r="G28" s="1"/>
      <c r="H28" s="1" t="str">
        <v>DDRC_BE_BQ_BG_NUM</v>
      </c>
      <c r="I28" s="1">
        <v>4</v>
      </c>
      <c r="J28" s="1"/>
      <c r="K28" s="10" t="str">
        <v>DDRC_PA_BQ_NUM</v>
      </c>
      <c r="L28" s="10">
        <v>4</v>
      </c>
      <c r="M28" s="10"/>
      <c r="N28" s="10"/>
      <c r="O28" s="1"/>
      <c r="P28" s="1" t="str">
        <v>DDRC_AR_BQ_NUM</v>
      </c>
      <c r="Q28" s="1">
        <v>4</v>
      </c>
      <c r="R28" s="1"/>
      <c r="S28" s="10" t="str">
        <v>DDRC_LC_BSM_NUM</v>
      </c>
      <c r="T28" s="10" t="str">
        <v>128,</v>
      </c>
      <c r="U28" s="1"/>
      <c r="V28" s="10" t="str">
        <v>DDRC_PIM_CAM_DEPTH</v>
      </c>
      <c r="W28" s="10">
        <v>64</v>
      </c>
      <c r="X28" s="1"/>
      <c r="Y28" s="10" t="str">
        <v>DDRC_PA_BQ_NUM</v>
      </c>
      <c r="Z28" s="10">
        <v>4</v>
      </c>
      <c r="AA28" s="1"/>
      <c r="AB28" s="1"/>
      <c r="AC28" s="1"/>
      <c r="AD28" s="10"/>
      <c r="AE28" s="10"/>
      <c r="AF28" s="1"/>
      <c r="AG28" s="1"/>
      <c r="AH28" s="1"/>
      <c r="AI28" s="1"/>
      <c r="AJ28" s="1"/>
      <c r="AK28" s="1"/>
      <c r="AL28" s="2"/>
      <c r="AM28" s="1" t="str">
        <v>DDRC LPC FREQUENCY_WIDTH</v>
      </c>
      <c r="AN28" s="1">
        <v>5</v>
      </c>
    </row>
    <row r="29">
      <c r="A29" s="1"/>
      <c r="B29" s="10"/>
      <c r="C29" s="10"/>
      <c r="D29" s="1"/>
      <c r="E29" s="1" t="str">
        <v>DDRC_BQ_BSM_DEPTH</v>
      </c>
      <c r="F29" s="2">
        <v>128</v>
      </c>
      <c r="G29" s="1"/>
      <c r="H29" s="1" t="str">
        <v>DDRC_BE_MPOOL_NUM</v>
      </c>
      <c r="I29" s="1">
        <v>128</v>
      </c>
      <c r="J29" s="1"/>
      <c r="K29" s="10"/>
      <c r="L29" s="10"/>
      <c r="M29" s="10"/>
      <c r="N29" s="10"/>
      <c r="O29" s="1"/>
      <c r="P29" s="1" t="str">
        <v>DDRC_AR_CAM_DEPTH</v>
      </c>
      <c r="Q29" s="1">
        <v>32</v>
      </c>
      <c r="R29" s="1"/>
      <c r="S29" s="10"/>
      <c r="T29" s="10"/>
      <c r="U29" s="1"/>
      <c r="V29" s="10"/>
      <c r="W29" s="10"/>
      <c r="X29" s="1"/>
      <c r="Y29" s="10"/>
      <c r="Z29" s="10"/>
      <c r="AA29" s="1"/>
      <c r="AB29" s="1"/>
      <c r="AC29" s="1"/>
      <c r="AD29" s="10"/>
      <c r="AE29" s="10"/>
      <c r="AF29" s="1"/>
      <c r="AG29" s="1"/>
      <c r="AH29" s="1"/>
      <c r="AI29" s="1"/>
      <c r="AJ29" s="1"/>
      <c r="AK29" s="1"/>
      <c r="AL29" s="2"/>
      <c r="AM29" s="1"/>
      <c r="AN29" s="1"/>
    </row>
    <row r="30">
      <c r="A30" s="1"/>
      <c r="B30" s="10"/>
      <c r="C30" s="10"/>
      <c r="D30" s="1"/>
      <c r="E30" s="2"/>
      <c r="F30" s="2"/>
      <c r="G30" s="1"/>
      <c r="H30" s="1" t="str">
        <v>DDRC_BE_BSM_NUM</v>
      </c>
      <c r="I30" s="1">
        <v>128</v>
      </c>
      <c r="J30" s="1"/>
      <c r="K30" s="10"/>
      <c r="L30" s="10"/>
      <c r="M30" s="10"/>
      <c r="N30" s="10"/>
      <c r="O30" s="1"/>
      <c r="P30" s="1" t="str">
        <v>DDRC_AR_BSM_NUM</v>
      </c>
      <c r="Q30" s="1">
        <v>128</v>
      </c>
      <c r="R30" s="1"/>
      <c r="S30" s="10"/>
      <c r="T30" s="10"/>
      <c r="U30" s="1"/>
      <c r="V30" s="10"/>
      <c r="W30" s="10"/>
      <c r="X30" s="1"/>
      <c r="Y30" s="10"/>
      <c r="Z30" s="10"/>
      <c r="AA30" s="1"/>
      <c r="AB30" s="1"/>
      <c r="AC30" s="1"/>
      <c r="AD30" s="10"/>
      <c r="AE30" s="10"/>
      <c r="AF30" s="1"/>
      <c r="AG30" s="1"/>
      <c r="AH30" s="1"/>
      <c r="AI30" s="1"/>
      <c r="AJ30" s="1"/>
      <c r="AK30" s="1"/>
      <c r="AL30" s="2"/>
      <c r="AM30" s="1"/>
      <c r="AN30" s="1"/>
    </row>
    <row r="31">
      <c r="A31" s="1"/>
      <c r="B31" s="10"/>
      <c r="C31" s="10"/>
      <c r="D31" s="1"/>
      <c r="E31" s="1"/>
      <c r="F31" s="2"/>
      <c r="G31" s="1"/>
      <c r="H31" s="2"/>
      <c r="I31" s="2"/>
      <c r="J31" s="1"/>
      <c r="K31" s="10"/>
      <c r="L31" s="10"/>
      <c r="M31" s="10"/>
      <c r="N31" s="10"/>
      <c r="O31" s="1"/>
      <c r="P31" s="1" t="str">
        <v>DDRC_AR_MPOOL_NUM</v>
      </c>
      <c r="Q31" s="1">
        <v>384</v>
      </c>
      <c r="R31" s="1"/>
      <c r="S31" s="10"/>
      <c r="T31" s="10"/>
      <c r="U31" s="1"/>
      <c r="V31" s="10"/>
      <c r="W31" s="10"/>
      <c r="X31" s="1"/>
      <c r="Y31" s="10"/>
      <c r="Z31" s="10"/>
      <c r="AA31" s="1"/>
      <c r="AB31" s="1"/>
      <c r="AC31" s="1"/>
      <c r="AD31" s="10"/>
      <c r="AE31" s="10"/>
      <c r="AF31" s="1"/>
      <c r="AG31" s="1"/>
      <c r="AH31" s="1"/>
      <c r="AI31" s="1"/>
      <c r="AJ31" s="1"/>
      <c r="AK31" s="1"/>
      <c r="AL31" s="2"/>
      <c r="AM31" s="1"/>
      <c r="AN31" s="1"/>
    </row>
    <row r="32">
      <c r="A32" s="1"/>
      <c r="B32" s="10"/>
      <c r="C32" s="10"/>
      <c r="D32" s="1"/>
      <c r="E32" s="1"/>
      <c r="F32" s="1"/>
      <c r="G32" s="1"/>
      <c r="H32" s="2"/>
      <c r="I32" s="2"/>
      <c r="J32" s="1"/>
      <c r="K32" s="10"/>
      <c r="L32" s="10"/>
      <c r="M32" s="10"/>
      <c r="N32" s="10"/>
      <c r="O32" s="1"/>
      <c r="P32" s="1"/>
      <c r="Q32" s="1"/>
      <c r="R32" s="1"/>
      <c r="S32" s="10"/>
      <c r="T32" s="10"/>
      <c r="U32" s="1"/>
      <c r="V32" s="10"/>
      <c r="W32" s="10"/>
      <c r="X32" s="1"/>
      <c r="Y32" s="10"/>
      <c r="Z32" s="10"/>
      <c r="AA32" s="1"/>
      <c r="AB32" s="1"/>
      <c r="AC32" s="1"/>
      <c r="AD32" s="10"/>
      <c r="AE32" s="10"/>
      <c r="AF32" s="1"/>
      <c r="AG32" s="1"/>
      <c r="AH32" s="1"/>
      <c r="AI32" s="1"/>
      <c r="AJ32" s="1"/>
      <c r="AK32" s="2"/>
      <c r="AL32" s="2"/>
      <c r="AM32" s="1"/>
      <c r="AN32" s="1"/>
    </row>
    <row r="33">
      <c r="A33" s="1"/>
      <c r="B33" s="10"/>
      <c r="C33" s="10"/>
      <c r="D33" s="1"/>
      <c r="E33" s="1"/>
      <c r="F33" s="1"/>
      <c r="G33" s="1"/>
      <c r="H33" s="1"/>
      <c r="I33" s="1"/>
      <c r="J33" s="1"/>
      <c r="K33" s="10"/>
      <c r="L33" s="10"/>
      <c r="M33" s="10"/>
      <c r="N33" s="10"/>
      <c r="O33" s="1"/>
      <c r="P33" s="1"/>
      <c r="Q33" s="1"/>
      <c r="R33" s="1"/>
      <c r="S33" s="10"/>
      <c r="T33" s="10"/>
      <c r="U33" s="1"/>
      <c r="V33" s="10"/>
      <c r="W33" s="10"/>
      <c r="X33" s="1"/>
      <c r="Y33" s="10"/>
      <c r="Z33" s="10"/>
      <c r="AA33" s="1"/>
      <c r="AB33" s="1"/>
      <c r="AC33" s="1"/>
      <c r="AD33" s="10"/>
      <c r="AE33" s="10"/>
      <c r="AF33" s="1"/>
      <c r="AG33" s="1"/>
      <c r="AH33" s="1"/>
      <c r="AI33" s="1"/>
      <c r="AJ33" s="1"/>
      <c r="AK33" s="2"/>
      <c r="AL33" s="2"/>
      <c r="AM33" s="1"/>
      <c r="AN33" s="1"/>
    </row>
    <row r="34">
      <c r="A34" s="2" t="str">
        <v>Internal</v>
      </c>
      <c r="B34" s="10"/>
      <c r="C34" s="10"/>
      <c r="D34" s="2"/>
      <c r="E34" s="1" t="str">
        <v>DDRC_BQ_ENABLE_MPOOL</v>
      </c>
      <c r="F34" s="2">
        <v>0</v>
      </c>
      <c r="G34" s="2"/>
      <c r="H34" s="1" t="str">
        <v>DDRC_BE_RDWR_BUF_DEPTH</v>
      </c>
      <c r="I34" s="1">
        <v>8</v>
      </c>
      <c r="J34" s="2"/>
      <c r="K34" s="10"/>
      <c r="L34" s="10"/>
      <c r="M34" s="8" t="str">
        <v>DDRC_PP_BQ_FE_BUF_DEPTH</v>
      </c>
      <c r="N34" s="10">
        <v>32</v>
      </c>
      <c r="O34" s="2"/>
      <c r="P34" s="2" t="str">
        <v>DDRC_AR_TOTAL_BANK_NUM</v>
      </c>
      <c r="Q34" s="2" t="str">
        <v>DDRC_AR_RK_NUM*DDRC_AR_LGRK_NUM*DDRC_AR_BA_NUM</v>
      </c>
      <c r="R34" s="2"/>
      <c r="S34" s="8" t="str">
        <v>DDRC_LC_DIMM_NDCAC WIDTH</v>
      </c>
      <c r="T34" s="8" t="str">
        <v>6,</v>
      </c>
      <c r="U34" s="2"/>
      <c r="V34" s="8" t="str">
        <v>DDRC_PIM_LP_ST_WIDTH</v>
      </c>
      <c r="W34" s="10">
        <v>4</v>
      </c>
      <c r="X34" s="2"/>
      <c r="Y34" s="8" t="str">
        <v>DDRC_PA_DDRC_PA_RKBKBG_WIDTH</v>
      </c>
      <c r="Z34" s="8" t="str">
        <v>DDRC_PA_RK_WIDTH + DDRC_PA_BG_WIDTH + DDRC_PA_BK_WIDTH</v>
      </c>
      <c r="AA34" s="2" t="str">
        <v>PHY_DFI_EN_WIDTH</v>
      </c>
      <c r="AB34" s="2" t="str" xml:space="preserve">
        <v> = 2</v>
      </c>
      <c r="AC34" s="2"/>
      <c r="AD34" s="8"/>
      <c r="AE34" s="8"/>
      <c r="AF34" s="2"/>
      <c r="AG34" s="2" t="str">
        <v>DDRC_RDB_DEPTH</v>
      </c>
      <c r="AH34" s="2" t="str" xml:space="preserve">
        <v> = 64,</v>
      </c>
      <c r="AI34" s="2"/>
      <c r="AJ34" s="1" t="str">
        <v>DDRC_RASC_TOTAL_DATA_WIDTH</v>
      </c>
      <c r="AK34" s="2">
        <v>576</v>
      </c>
      <c r="AL34" s="2"/>
      <c r="AM34" s="1"/>
      <c r="AN34" s="1"/>
    </row>
    <row r="35">
      <c r="A35" s="2"/>
      <c r="B35" s="10" t="str">
        <v>DDRC PB RD PRE OTSD</v>
      </c>
      <c r="C35" s="10">
        <f>512/8</f>
      </c>
      <c r="D35" s="2"/>
      <c r="E35" s="1" t="str">
        <v>DDRC_BQ_REF_FSM_NUM</v>
      </c>
      <c r="F35" s="2">
        <v>4</v>
      </c>
      <c r="G35" s="2"/>
      <c r="H35" s="1" t="str">
        <v>DDRC_BE_BQ_BANK_NUM_WIDTH</v>
      </c>
      <c r="I35" s="1">
        <v>5</v>
      </c>
      <c r="J35" s="2"/>
      <c r="K35" s="10"/>
      <c r="L35" s="10"/>
      <c r="M35" s="8" t="str">
        <v>DDRC_PP_BQ_BE_BUF_DEPTH</v>
      </c>
      <c r="N35" s="10">
        <v>32</v>
      </c>
      <c r="O35" s="2"/>
      <c r="P35" s="2" t="str">
        <v>DDRC_AR_TOTAL_LGRK_NUM</v>
      </c>
      <c r="Q35" s="2" t="str">
        <v>DDRC_AR_RK_NUM*DDRC_AR_LGRK_NUM</v>
      </c>
      <c r="R35" s="2"/>
      <c r="S35" s="8" t="str">
        <v>DDRC_LC_DIMM_NREFA_WIDTH</v>
      </c>
      <c r="T35" s="8" t="str">
        <v>6,</v>
      </c>
      <c r="U35" s="2"/>
      <c r="V35" s="8" t="str">
        <v>DDRC_PIM_NIBBLE_NUM</v>
      </c>
      <c r="W35" s="10">
        <v>10</v>
      </c>
      <c r="X35" s="2"/>
      <c r="Y35" s="8" t="str">
        <v>DDRC_PA_RDWR_INFO_WIDTH</v>
      </c>
      <c r="Z35" s="8" t="str">
        <v>DDRC_PA_RD_INFO_WIDTH + DDRC_PA_WR_INFO_WIDTH</v>
      </c>
      <c r="AA35" s="2"/>
      <c r="AB35" s="2"/>
      <c r="AC35" s="2"/>
      <c r="AD35" s="8"/>
      <c r="AE35" s="8"/>
      <c r="AF35" s="2"/>
      <c r="AG35" s="2" t="str">
        <v>DDRC_RDB_ERR_INFO_WIDTH</v>
      </c>
      <c r="AH35" s="2">
        <v>20</v>
      </c>
      <c r="AI35" s="2"/>
      <c r="AJ35" s="1" t="str">
        <v>DDRC_RASC_ACLS_NUM</v>
      </c>
      <c r="AK35" s="2">
        <v>32</v>
      </c>
      <c r="AL35" s="2"/>
      <c r="AM35" s="1"/>
      <c r="AN35" s="1"/>
    </row>
    <row r="36">
      <c r="A36" s="2"/>
      <c r="B36" s="10" t="str">
        <v>DDRC PB WR_OTSD</v>
      </c>
      <c r="C36" s="10">
        <v>512</v>
      </c>
      <c r="D36" s="2"/>
      <c r="E36" s="1" t="str">
        <v>DDRC_BQ_CAM_DEPTH</v>
      </c>
      <c r="F36" s="2">
        <v>32</v>
      </c>
      <c r="G36" s="2"/>
      <c r="H36" s="1" t="str">
        <v>LPDDR</v>
      </c>
      <c r="I36" s="1">
        <v>0</v>
      </c>
      <c r="J36" s="2"/>
      <c r="K36" s="10"/>
      <c r="L36" s="10"/>
      <c r="M36" s="8" t="str">
        <v>DDRC_PP_BANK_NUM</v>
      </c>
      <c r="N36" s="10">
        <v>64</v>
      </c>
      <c r="O36" s="2"/>
      <c r="P36" s="2" t="str">
        <v>DDRC_AR_TOTAL_ENTRY_NUM</v>
      </c>
      <c r="Q36" s="2" t="str">
        <v>DDRC_AR_BQ_NUM*DDRC_AR_CAM_DEPTH</v>
      </c>
      <c r="R36" s="2"/>
      <c r="S36" s="8"/>
      <c r="T36" s="8"/>
      <c r="U36" s="2"/>
      <c r="V36" s="8"/>
      <c r="W36" s="8"/>
      <c r="X36" s="2"/>
      <c r="Y36" s="8"/>
      <c r="Z36" s="8"/>
      <c r="AA36" s="2"/>
      <c r="AB36" s="2"/>
      <c r="AC36" s="2"/>
      <c r="AD36" s="8"/>
      <c r="AE36" s="8"/>
      <c r="AF36" s="2"/>
      <c r="AG36" s="2" t="str">
        <v>DDRC_RDB_MRR_CMD_INFO_WIDTH</v>
      </c>
      <c r="AH36" s="2" t="str" xml:space="preserve">
        <v> = 9,</v>
      </c>
      <c r="AI36" s="2"/>
      <c r="AJ36" s="1" t="str">
        <v>DDRC_RASC_ROWSP_NUM</v>
      </c>
      <c r="AK36" s="2">
        <v>128</v>
      </c>
      <c r="AL36" s="2"/>
      <c r="AM36" s="1"/>
      <c r="AN36" s="1"/>
    </row>
    <row r="37">
      <c r="A37" s="2"/>
      <c r="B37" s="10" t="str" xml:space="preserve">
        <v>DDRC_PB_RD_QUEUE_NORMAL_DEPTH_WIDTH </v>
      </c>
      <c r="C37" s="10">
        <v>2</v>
      </c>
      <c r="D37" s="2"/>
      <c r="E37" s="1" t="str">
        <v>DDRC_BQ_BSM_EXT</v>
      </c>
      <c r="F37" s="2">
        <v>2</v>
      </c>
      <c r="G37" s="2"/>
      <c r="H37" s="1" t="str">
        <v>RDIMM</v>
      </c>
      <c r="I37" s="1">
        <v>1</v>
      </c>
      <c r="J37" s="2"/>
      <c r="K37" s="10"/>
      <c r="L37" s="10"/>
      <c r="M37" s="8" t="str">
        <v>DDRC_PP_ROW_CYCLE</v>
      </c>
      <c r="N37" s="10">
        <v>1</v>
      </c>
      <c r="O37" s="2"/>
      <c r="P37" s="2" t="str">
        <v>DDRC_AR_TOTAL_ENTRY_WIDTH</v>
      </c>
      <c r="Q37" s="2" t="str">
        <v>clog2(DDRC_AR_TOTAL_ENTRY_NUM)+1</v>
      </c>
      <c r="R37" s="2"/>
      <c r="S37" s="8" t="str" xml:space="preserve">
        <v>DDRC_LC_RL_WIDTH </v>
      </c>
      <c r="T37" s="9">
        <v>8</v>
      </c>
      <c r="U37" s="2"/>
      <c r="V37" s="8" t="str" xml:space="preserve">
        <v>DDRC_PIM_RK_NUM </v>
      </c>
      <c r="W37" s="8" t="str">
        <v>2**DDRC_PIM_RK_WIDTH</v>
      </c>
      <c r="X37" s="2"/>
      <c r="Y37" s="8"/>
      <c r="Z37" s="8"/>
      <c r="AA37" s="2"/>
      <c r="AB37" s="2"/>
      <c r="AC37" s="2"/>
      <c r="AD37" s="8" t="str">
        <v>DDRC WP RAM DEPTH</v>
      </c>
      <c r="AE37" s="8">
        <f>224</f>
      </c>
      <c r="AF37" s="2"/>
      <c r="AG37" s="2" t="str">
        <v>DDRC_RDB_RL_DEPTH</v>
      </c>
      <c r="AH37" s="2" t="str" xml:space="preserve">
        <v> = 16,</v>
      </c>
      <c r="AI37" s="2"/>
      <c r="AJ37" s="1" t="str">
        <v>DDRC_RASC_ERR_BITMAP_WIDTH</v>
      </c>
      <c r="AK37" s="2">
        <v>544</v>
      </c>
      <c r="AL37" s="2"/>
      <c r="AM37" s="1"/>
      <c r="AN37" s="1"/>
    </row>
    <row r="38">
      <c r="A38" s="2"/>
      <c r="B38" s="10" t="str">
        <v>DDRC_PB_RD_QUEUE_HIGH_DEPTH_WIDTH</v>
      </c>
      <c r="C38" s="10">
        <v>2</v>
      </c>
      <c r="D38" s="2"/>
      <c r="E38" s="1" t="str">
        <v>DDRC_BQ_SIZE WIDTH</v>
      </c>
      <c r="F38" s="2">
        <v>2</v>
      </c>
      <c r="G38" s="2"/>
      <c r="H38" s="1" t="str">
        <v>MRDIMM</v>
      </c>
      <c r="I38" s="1">
        <v>0</v>
      </c>
      <c r="J38" s="2"/>
      <c r="K38" s="1"/>
      <c r="L38" s="1"/>
      <c r="M38" s="2" t="str">
        <v>DDRC_PP_ROW_BUF_DEPTH</v>
      </c>
      <c r="N38" s="1">
        <v>4</v>
      </c>
      <c r="O38" s="2"/>
      <c r="P38" s="2" t="str">
        <v>DDRC_AR_BQ_ENTRY_WIDTH</v>
      </c>
      <c r="Q38" s="2" t="str">
        <v>clog2(DDRC_AR_CAM_DEPTH)+1</v>
      </c>
      <c r="R38" s="2"/>
      <c r="S38" s="8" t="str" xml:space="preserve">
        <v>DDRC_LC_T_RRD_L_WIDDDRC_LC_TH </v>
      </c>
      <c r="T38" s="9">
        <v>5</v>
      </c>
      <c r="U38" s="2"/>
      <c r="V38" s="8" t="str">
        <v>DDRC_PIM_BQF_ST_WIDTH</v>
      </c>
      <c r="W38" s="8" t="str">
        <v>2*2**DDRC_PIM_RK_WIDTH</v>
      </c>
      <c r="X38" s="2"/>
      <c r="Y38" s="8"/>
      <c r="Z38" s="8"/>
      <c r="AA38" s="2"/>
      <c r="AB38" s="2"/>
      <c r="AC38" s="2"/>
      <c r="AD38" s="8" t="str">
        <v>DDRC WP FIFO DEPTH</v>
      </c>
      <c r="AE38" s="8">
        <f>8</f>
      </c>
      <c r="AF38" s="2"/>
      <c r="AG38" s="2" t="str">
        <v>DDRC_RDB_BL</v>
      </c>
      <c r="AH38" s="2" t="str" xml:space="preserve">
        <v> = 16,</v>
      </c>
      <c r="AI38" s="2"/>
      <c r="AJ38" s="1" t="str">
        <v>DDRC_RASC_BYTENUM_PERCOL</v>
      </c>
      <c r="AK38" s="2">
        <v>64</v>
      </c>
      <c r="AL38" s="2"/>
      <c r="AM38" s="1"/>
      <c r="AN38" s="1"/>
    </row>
    <row r="39">
      <c r="A39" s="2"/>
      <c r="B39" s="10" t="str">
        <v>DDRC_PB_WR_BUF_RDATA_QUEUE_WIDTH</v>
      </c>
      <c r="C39" s="10">
        <v>3</v>
      </c>
      <c r="D39" s="2"/>
      <c r="E39" s="1" t="str">
        <v>DDRC_BQ_CNT_WIDTH</v>
      </c>
      <c r="F39" s="2">
        <v>10</v>
      </c>
      <c r="G39" s="2"/>
      <c r="H39" s="1" t="str">
        <v>[LocalParam] RANK_NUM</v>
      </c>
      <c r="I39" s="1" t="str">
        <v>2^DDRC_BE_RK_WIDTH</v>
      </c>
      <c r="J39" s="2"/>
      <c r="K39" s="1" t="str">
        <v>DDRC_PA_CMD_WIDTH</v>
      </c>
      <c r="L39" s="1">
        <v>5</v>
      </c>
      <c r="M39" s="2" t="str">
        <v>DDRC_PP_BSM_SIZE</v>
      </c>
      <c r="N39" s="1">
        <v>64</v>
      </c>
      <c r="O39" s="2"/>
      <c r="P39" s="2" t="str">
        <v>DDRC_AR_POSTPONE_CNT_WIDTH</v>
      </c>
      <c r="Q39" s="2">
        <v>4</v>
      </c>
      <c r="R39" s="2"/>
      <c r="S39" s="8" t="str">
        <v>DDRC_LC_T_RRD_S_WIDDDRC_LC_TH</v>
      </c>
      <c r="T39" s="9">
        <v>4</v>
      </c>
      <c r="U39" s="2"/>
      <c r="V39" s="8" t="str">
        <v>DDRC_PIM_CAM_WIDTH</v>
      </c>
      <c r="W39" s="8" t="str">
        <v>$clog2(DDRC_PIM_CAM_DEPTH)</v>
      </c>
      <c r="X39" s="2"/>
      <c r="Y39" s="8"/>
      <c r="Z39" s="8"/>
      <c r="AA39" s="2"/>
      <c r="AB39" s="2"/>
      <c r="AC39" s="2"/>
      <c r="AD39" s="8" t="str">
        <v>DDRC WP_RESP FWD BUF DEPTH</v>
      </c>
      <c r="AE39" s="8">
        <v>4</v>
      </c>
      <c r="AF39" s="2"/>
      <c r="AG39" s="2" t="str">
        <v>DDRC_RDB_BL_CRC</v>
      </c>
      <c r="AH39" s="2" t="str" xml:space="preserve">
        <v> = 2,</v>
      </c>
      <c r="AI39" s="2"/>
      <c r="AJ39" s="1" t="str">
        <v>DDRC_RASC_CW_COL_F</v>
      </c>
      <c r="AK39" s="2" t="str">
        <v>$clog2(2**DDRC_RASC_COL_WIDTH/DDRC_RASC_BYTENUM_PERCOL)</v>
      </c>
      <c r="AL39" s="2"/>
      <c r="AM39" s="1"/>
      <c r="AN39" s="1"/>
    </row>
    <row r="40">
      <c r="A40" s="2"/>
      <c r="B40" s="10" t="str">
        <v>DDRC_PB_WR_BUF_DEPTH_WIDTH</v>
      </c>
      <c r="C40" s="10">
        <v>9</v>
      </c>
      <c r="D40" s="2"/>
      <c r="E40" s="1" t="str" xml:space="preserve">
        <v>[LocalParam]ADDR_WIDTH </v>
      </c>
      <c r="F40" s="2" t="str">
        <v>BG_WIDTH + RK_WIDTH + LRK_WIDTH +BK_WIDTH + ROW_WIDTH + COL_WIDTH,</v>
      </c>
      <c r="G40" s="2"/>
      <c r="H40" s="1" t="str">
        <v>[LocalParam] BG_NUM</v>
      </c>
      <c r="I40" s="1" t="str">
        <v>2^DDRC_BE_BG_WIDTH</v>
      </c>
      <c r="J40" s="2"/>
      <c r="K40" s="1" t="str">
        <v>DDRC_PA_PHASE_WIDTH</v>
      </c>
      <c r="L40" s="1">
        <v>2</v>
      </c>
      <c r="M40" s="2"/>
      <c r="N40" s="2"/>
      <c r="O40" s="2"/>
      <c r="P40" s="2" t="str">
        <v>DDRC_AR_OPCODE_PRESB</v>
      </c>
      <c r="Q40" s="2" t="str">
        <v>5'd21</v>
      </c>
      <c r="R40" s="2"/>
      <c r="S40" s="8" t="str" xml:space="preserve">
        <v>DDRC_LC_T_FAW_WIDTH </v>
      </c>
      <c r="T40" s="9">
        <v>8</v>
      </c>
      <c r="U40" s="2"/>
      <c r="V40" s="2"/>
      <c r="W40" s="2"/>
      <c r="X40" s="2"/>
      <c r="Y40" s="8"/>
      <c r="Z40" s="8"/>
      <c r="AA40" s="2"/>
      <c r="AB40" s="2"/>
      <c r="AC40" s="2"/>
      <c r="AD40" s="2"/>
      <c r="AE40" s="2"/>
      <c r="AF40" s="2"/>
      <c r="AG40" s="2" t="str">
        <v>DDRC_RDB_RSD_DELAY</v>
      </c>
      <c r="AH40" s="2">
        <v>2</v>
      </c>
      <c r="AI40" s="2"/>
      <c r="AJ40" s="1" t="str">
        <v>DDRC_RASC_SPPR_SRAM_DEPTH_WIDTH</v>
      </c>
      <c r="AK40" s="2">
        <v>6</v>
      </c>
      <c r="AL40" s="2"/>
      <c r="AM40" s="1"/>
      <c r="AN40" s="1"/>
    </row>
    <row r="41">
      <c r="A41" s="2"/>
      <c r="B41" s="10" t="str">
        <v>DDRC_PB_COLLI_GRP_DEPTH_WIDTH</v>
      </c>
      <c r="C41" s="10">
        <v>3</v>
      </c>
      <c r="D41" s="2"/>
      <c r="E41" s="1" t="str" xml:space="preserve">
        <v>[LocalParam]RKBK_WIDTH </v>
      </c>
      <c r="F41" s="2" t="str">
        <v>RK_WIDTH + LRK_WIDTH + BK WIDTH.</v>
      </c>
      <c r="G41" s="2"/>
      <c r="H41" s="1" t="str">
        <v>[LocalParam] BSM_WIDTH</v>
      </c>
      <c r="I41" s="1" t="str">
        <v>(DDRC_BE_BSM_NUM &gt; 1 ? $clog2(BSM_NUM) : 1),</v>
      </c>
      <c r="J41" s="2"/>
      <c r="K41" s="1"/>
      <c r="L41" s="1"/>
      <c r="M41" s="2"/>
      <c r="N41" s="2"/>
      <c r="O41" s="2"/>
      <c r="P41" s="2" t="str">
        <v>DDRC_AR_OPCODE_PREAB</v>
      </c>
      <c r="Q41" s="2" t="str">
        <v>5'd20</v>
      </c>
      <c r="R41" s="2"/>
      <c r="S41" s="8" t="str">
        <v>DDRC_LC_T_RP_WIDTH</v>
      </c>
      <c r="T41" s="9">
        <v>7</v>
      </c>
      <c r="U41" s="2"/>
      <c r="V41" s="2"/>
      <c r="W41" s="2"/>
      <c r="X41" s="2"/>
      <c r="Y41" s="8"/>
      <c r="Z41" s="8"/>
      <c r="AA41" s="2"/>
      <c r="AB41" s="2"/>
      <c r="AC41" s="2"/>
      <c r="AD41" s="2"/>
      <c r="AE41" s="2"/>
      <c r="AF41" s="2"/>
      <c r="AG41" s="2" t="str">
        <v>RDB_WIDTH</v>
      </c>
      <c r="AH41" s="2" t="str" xml:space="preserve">
        <v> = $clog2(RDB_DEPTH)</v>
      </c>
      <c r="AI41" s="2"/>
      <c r="AJ41" s="1" t="str">
        <v>DDRC_RASC_ACLS_SRAM_DEPTH_WIDTH</v>
      </c>
      <c r="AK41" s="1" t="str">
        <v>$clog2(DDRC_RASC_ACLS_NUM)</v>
      </c>
      <c r="AL41" s="2"/>
      <c r="AM41" s="1"/>
      <c r="AN41" s="1"/>
    </row>
    <row r="42">
      <c r="A42" s="2"/>
      <c r="B42" s="10" t="str">
        <v>DDRC_PB_WR_HIGH_QUEUE_DEPTH_WIDTH</v>
      </c>
      <c r="C42" s="10">
        <v>4</v>
      </c>
      <c r="D42" s="2"/>
      <c r="E42" s="1" t="str" xml:space="preserve">
        <v>[LocalParam]RKBKR_WIDTH = </v>
      </c>
      <c r="F42" s="2" t="str">
        <v>BG_WIDTH + RK_WIDTH + LRK_WIDTH +BK_WIDTH + ROW_WIDTH + COL_WIDTH,</v>
      </c>
      <c r="G42" s="2"/>
      <c r="H42" s="1" t="str">
        <v>[LocalParam] RKBGBK WIDTH</v>
      </c>
      <c r="I42" s="1" t="str">
        <v>(DDRC_BE_BG_WIDTH + DDRC_BE_PSCH_WIDTH + DDRC_BE_RK_WIDTH + DDRC_BE_LRK_WIDTH + DDRC_BE_BK_WIDTH)</v>
      </c>
      <c r="J42" s="2"/>
      <c r="K42" s="1"/>
      <c r="L42" s="1"/>
      <c r="M42" s="2"/>
      <c r="N42" s="2"/>
      <c r="O42" s="2"/>
      <c r="P42" s="2" t="str">
        <v>DDRC_AR_OPCODE_REFSB</v>
      </c>
      <c r="Q42" s="2" t="str">
        <v>5'd18</v>
      </c>
      <c r="R42" s="2"/>
      <c r="S42" s="8" t="str" xml:space="preserve">
        <v>DDRC_LC_T_RPAB_WIDTH </v>
      </c>
      <c r="T42" s="9">
        <v>7</v>
      </c>
      <c r="U42" s="2"/>
      <c r="V42" s="2"/>
      <c r="W42" s="2"/>
      <c r="X42" s="2"/>
      <c r="Y42" s="8"/>
      <c r="Z42" s="8"/>
      <c r="AA42" s="2"/>
      <c r="AB42" s="2"/>
      <c r="AC42" s="2"/>
      <c r="AD42" s="2"/>
      <c r="AE42" s="2"/>
      <c r="AF42" s="2"/>
      <c r="AG42" s="2"/>
      <c r="AH42" s="2"/>
      <c r="AI42" s="2"/>
      <c r="AJ42" s="1" t="str">
        <v>DDRC_RASC_UE_RETRY_ENTRY_NUM</v>
      </c>
      <c r="AK42" s="2">
        <v>32</v>
      </c>
      <c r="AL42" s="2"/>
      <c r="AM42" s="1"/>
      <c r="AN42" s="1"/>
    </row>
    <row r="43">
      <c r="A43" s="2"/>
      <c r="B43" s="10" t="str">
        <v>DDRC_PB_WR_NORMAL_QUEUE_FE_DEPTH_WIDTH</v>
      </c>
      <c r="C43" s="10">
        <v>9</v>
      </c>
      <c r="D43" s="2"/>
      <c r="E43" s="1" t="str" xml:space="preserve">
        <v>[LocalParam]RKBGBK_WIDTH = </v>
      </c>
      <c r="F43" s="2" t="str">
        <v>BG_WIDTH + RK_WIDTH + LRK_WIDTH + BK_WIDTH,</v>
      </c>
      <c r="G43" s="2"/>
      <c r="H43" s="1" t="str">
        <v>[LocalParam] ACTPRE_ADDR_WIDTH</v>
      </c>
      <c r="I43" s="1" t="str">
        <v>(RKBGBK_WIDTH + DDRC_BE_ROW_WIDTH),</v>
      </c>
      <c r="J43" s="2"/>
      <c r="K43" s="1"/>
      <c r="L43" s="1"/>
      <c r="M43" s="2"/>
      <c r="N43" s="2"/>
      <c r="O43" s="2"/>
      <c r="P43" s="2" t="str">
        <v>DDRC_AR_OPCODE_REFAB</v>
      </c>
      <c r="Q43" s="2" t="str">
        <v>5'd16</v>
      </c>
      <c r="R43" s="2"/>
      <c r="S43" s="8" t="str" xml:space="preserve">
        <v>DDRC_LC_T_RTP_WIDTH </v>
      </c>
      <c r="T43" s="9">
        <v>6</v>
      </c>
      <c r="U43" s="2"/>
      <c r="V43" s="2"/>
      <c r="W43" s="2"/>
      <c r="X43" s="2"/>
      <c r="Y43" s="8"/>
      <c r="Z43" s="8"/>
      <c r="AA43" s="2"/>
      <c r="AB43" s="2"/>
      <c r="AC43" s="2"/>
      <c r="AD43" s="2"/>
      <c r="AE43" s="2"/>
      <c r="AF43" s="2"/>
      <c r="AG43" s="2"/>
      <c r="AH43" s="2"/>
      <c r="AI43" s="2"/>
      <c r="AJ43" s="1" t="str">
        <v>DDRC_RASC_RD_CMD_SEC_F</v>
      </c>
      <c r="AK43" s="2">
        <v>33</v>
      </c>
      <c r="AL43" s="2"/>
      <c r="AM43" s="1"/>
      <c r="AN43" s="1"/>
    </row>
    <row r="44">
      <c r="A44" s="2"/>
      <c r="B44" s="10" t="str">
        <v>DDRC_PB_WR_NORMAL_QUEUE_BE_DEPTH_WIDTH</v>
      </c>
      <c r="C44" s="10">
        <v>6</v>
      </c>
      <c r="D44" s="2"/>
      <c r="E44" s="1" t="str">
        <v>[LocalParam]RK_NUM =</v>
      </c>
      <c r="F44" s="2" t="str" xml:space="preserve">
        <v> 2 ** RK_WIDTH,</v>
      </c>
      <c r="G44" s="2"/>
      <c r="H44" s="1" t="str">
        <v>[LocalParam] RDWR_ADDR_WIDTH</v>
      </c>
      <c r="I44" s="1" t="str">
        <v>(RKBGBK WIDTH + DDRC_BE_COL_WIDTH),</v>
      </c>
      <c r="J44" s="2"/>
      <c r="K44" s="1"/>
      <c r="L44" s="1"/>
      <c r="M44" s="2"/>
      <c r="N44" s="2"/>
      <c r="O44" s="2"/>
      <c r="P44" s="2" t="str">
        <v>DDRC_AR_OPCODE_RFMSB</v>
      </c>
      <c r="Q44" s="2" t="str">
        <v>5'd19</v>
      </c>
      <c r="R44" s="2"/>
      <c r="S44" s="8" t="str" xml:space="preserve">
        <v>DDRC_LC_T_CL_WIDTH   </v>
      </c>
      <c r="T44" s="9">
        <v>7</v>
      </c>
      <c r="U44" s="2"/>
      <c r="V44" s="2"/>
      <c r="W44" s="2"/>
      <c r="X44" s="2"/>
      <c r="Y44" s="8"/>
      <c r="Z44" s="8"/>
      <c r="AA44" s="2"/>
      <c r="AB44" s="2"/>
      <c r="AC44" s="2"/>
      <c r="AD44" s="2"/>
      <c r="AE44" s="2"/>
      <c r="AF44" s="2"/>
      <c r="AG44" s="2"/>
      <c r="AH44" s="2"/>
      <c r="AI44" s="2"/>
      <c r="AJ44" s="1" t="str">
        <v>DDRC_RASC_WR_CMD_SEC_F</v>
      </c>
      <c r="AK44" s="2">
        <v>0</v>
      </c>
      <c r="AL44" s="2"/>
      <c r="AM44" s="1"/>
      <c r="AN44" s="1"/>
    </row>
    <row r="45">
      <c r="A45" s="2"/>
      <c r="B45" s="10" t="str">
        <v>DDRC_PB_PAGE_TABLE_NUM</v>
      </c>
      <c r="C45" s="10">
        <v>16</v>
      </c>
      <c r="D45" s="2"/>
      <c r="E45" s="1" t="str" xml:space="preserve">
        <v>[LocalParam]TOTAL_BANKS = </v>
      </c>
      <c r="F45" s="2" t="str">
        <v>1 &lt;&lt; RKBGBK_WIDTH,</v>
      </c>
      <c r="G45" s="2"/>
      <c r="H45" s="1" t="str">
        <v>[localparam] ADDR_WIDTH</v>
      </c>
      <c r="I45" s="1" t="str" xml:space="preserve">
        <v> (ACTPRE_ADDR_WIDTH + DDRC_BE_COL_WIDTH),</v>
      </c>
      <c r="J45" s="2"/>
      <c r="K45" s="1"/>
      <c r="L45" s="1"/>
      <c r="M45" s="2"/>
      <c r="N45" s="2"/>
      <c r="O45" s="2"/>
      <c r="P45" s="2" t="str">
        <v>DDRC_AR_OPCODE_RFMAB</v>
      </c>
      <c r="Q45" s="2" t="str">
        <v>5'd17</v>
      </c>
      <c r="R45" s="2"/>
      <c r="S45" s="8" t="str" xml:space="preserve">
        <v>DDRC_LC_T_WR_WIDTH    </v>
      </c>
      <c r="T45" s="9">
        <v>7</v>
      </c>
      <c r="U45" s="2"/>
      <c r="V45" s="2"/>
      <c r="W45" s="2"/>
      <c r="X45" s="2"/>
      <c r="Y45" s="8"/>
      <c r="Z45" s="8"/>
      <c r="AA45" s="2"/>
      <c r="AB45" s="2"/>
      <c r="AC45" s="2"/>
      <c r="AD45" s="2"/>
      <c r="AE45" s="2"/>
      <c r="AF45" s="2"/>
      <c r="AG45" s="2"/>
      <c r="AH45" s="2"/>
      <c r="AI45" s="2"/>
      <c r="AJ45" s="2" t="str">
        <v>DDRC_RASC_RK_NUM</v>
      </c>
      <c r="AK45" s="2" t="str">
        <v>2**DDRC_RASC_RK_WIDTH</v>
      </c>
      <c r="AL45" s="2"/>
      <c r="AM45" s="1"/>
      <c r="AN45" s="1"/>
    </row>
    <row r="46">
      <c r="A46" s="2"/>
      <c r="B46" s="10" t="str">
        <v>DDRC_PB_WR_NORMAL_QUEUE_BE_DEPTH</v>
      </c>
      <c r="C46" s="10">
        <v>64</v>
      </c>
      <c r="D46" s="2"/>
      <c r="E46" s="1" t="str">
        <v>[LocalParam]BSM_DEPTH_EXT =</v>
      </c>
      <c r="F46" s="2" t="str" xml:space="preserve">
        <v> BSM_DEPTH"* (1 &lt;&lt; BSM_E:xT),</v>
      </c>
      <c r="G46" s="2"/>
      <c r="H46" s="1" t="str">
        <v>[localparam] BMU NUM</v>
      </c>
      <c r="I46" s="1" t="str" xml:space="preserve">
        <v> (DDRC_BE_BSM_NUM + DDRC_BE_MPOOL_NUM),</v>
      </c>
      <c r="J46" s="2"/>
      <c r="K46" s="1"/>
      <c r="L46" s="1"/>
      <c r="M46" s="2"/>
      <c r="N46" s="2"/>
      <c r="O46" s="2"/>
      <c r="P46" s="2"/>
      <c r="Q46" s="2"/>
      <c r="R46" s="2"/>
      <c r="S46" s="8" t="str" xml:space="preserve">
        <v>DDRC_LC_T_DCAW_WIDTH   </v>
      </c>
      <c r="T46" s="9">
        <v>8</v>
      </c>
      <c r="U46" s="2"/>
      <c r="V46" s="2"/>
      <c r="W46" s="2"/>
      <c r="X46" s="2"/>
      <c r="Y46" s="8"/>
      <c r="Z46" s="8"/>
      <c r="AA46" s="2"/>
      <c r="AB46" s="2"/>
      <c r="AC46" s="2"/>
      <c r="AD46" s="2"/>
      <c r="AE46" s="2"/>
      <c r="AF46" s="2"/>
      <c r="AG46" s="2"/>
      <c r="AH46" s="2"/>
      <c r="AI46" s="2"/>
      <c r="AJ46" s="2" t="str">
        <v>DDRC_RASC_RASC_SRC_W</v>
      </c>
      <c r="AK46" s="2">
        <v>3</v>
      </c>
      <c r="AL46" s="2"/>
      <c r="AM46" s="1"/>
      <c r="AN46" s="1"/>
    </row>
    <row r="47">
      <c r="A47" s="2"/>
      <c r="B47" s="10" t="str">
        <v>DDRC PB PREDICT_DEPTH</v>
      </c>
      <c r="C47" s="10">
        <v>256</v>
      </c>
      <c r="D47" s="2"/>
      <c r="E47" s="1" t="str" xml:space="preserve">
        <v>[LocalParam]DIR_WIDTH = </v>
      </c>
      <c r="F47" s="2" t="str">
        <v>RK_WIDTH + 1</v>
      </c>
      <c r="G47" s="2"/>
      <c r="H47" s="1" t="str">
        <v>[localparam] TIMER_WIDTH</v>
      </c>
      <c r="I47" s="1">
        <f>16</f>
      </c>
      <c r="J47" s="2"/>
      <c r="K47" s="1"/>
      <c r="L47" s="1"/>
      <c r="M47" s="2"/>
      <c r="N47" s="2"/>
      <c r="O47" s="2"/>
      <c r="P47" s="2"/>
      <c r="Q47" s="2"/>
      <c r="R47" s="2"/>
      <c r="S47" s="8" t="str" xml:space="preserve">
        <v>DDRC_LC_T_RC_WIDTH  </v>
      </c>
      <c r="T47" s="9">
        <v>9</v>
      </c>
      <c r="U47" s="2"/>
      <c r="V47" s="2"/>
      <c r="W47" s="2"/>
      <c r="X47" s="2"/>
      <c r="Y47" s="8"/>
      <c r="Z47" s="8"/>
      <c r="AA47" s="2"/>
      <c r="AB47" s="2"/>
      <c r="AC47" s="2"/>
      <c r="AD47" s="2"/>
      <c r="AE47" s="2"/>
      <c r="AF47" s="2"/>
      <c r="AG47" s="2"/>
      <c r="AH47" s="2"/>
      <c r="AI47" s="2"/>
      <c r="AJ47" s="2" t="str">
        <v>DDRC_RASC_ACLS_HIT_W</v>
      </c>
      <c r="AK47" s="2">
        <v>1</v>
      </c>
      <c r="AL47" s="2"/>
      <c r="AM47" s="1"/>
      <c r="AN47" s="1"/>
    </row>
    <row r="48">
      <c r="A48" s="2"/>
      <c r="B48" s="10" t="str">
        <v>DDRC_PB_FLAG_BIT_WIDTH</v>
      </c>
      <c r="C48" s="10">
        <v>32</v>
      </c>
      <c r="D48" s="2"/>
      <c r="E48" s="1" t="str" xml:space="preserve">
        <v>[LocalParam]CAM_WIDTH = </v>
      </c>
      <c r="F48" s="2" t="str">
        <v>$clog2(CAM_DEPTH),</v>
      </c>
      <c r="G48" s="2"/>
      <c r="H48" s="2"/>
      <c r="I48" s="2"/>
      <c r="J48" s="2"/>
      <c r="K48" s="1"/>
      <c r="L48" s="1"/>
      <c r="M48" s="2"/>
      <c r="N48" s="2"/>
      <c r="O48" s="2"/>
      <c r="P48" s="2"/>
      <c r="Q48" s="2"/>
      <c r="R48" s="2"/>
      <c r="S48" s="8" t="str">
        <v>DDRC_LC_T_MRD_WIDTH</v>
      </c>
      <c r="T48" s="9">
        <v>7</v>
      </c>
      <c r="U48" s="2"/>
      <c r="V48" s="2"/>
      <c r="W48" s="2"/>
      <c r="X48" s="2"/>
      <c r="Y48" s="8"/>
      <c r="Z48" s="8"/>
      <c r="AA48" s="2"/>
      <c r="AB48" s="2"/>
      <c r="AC48" s="2"/>
      <c r="AD48" s="2"/>
      <c r="AE48" s="2"/>
      <c r="AF48" s="2"/>
      <c r="AG48" s="2"/>
      <c r="AH48" s="2"/>
      <c r="AI48" s="2"/>
      <c r="AJ48" s="2" t="str">
        <v>DDRC_RASC_ACLS_INDEX_W</v>
      </c>
      <c r="AK48" s="1" t="str">
        <v>DDRC_RASC_ACLS_SRAM_DEPTH_WIDTH</v>
      </c>
      <c r="AL48" s="2"/>
      <c r="AM48" s="1"/>
      <c r="AN48" s="1"/>
    </row>
    <row r="49">
      <c r="A49" s="2"/>
      <c r="B49" s="8"/>
      <c r="C49" s="8"/>
      <c r="D49" s="2"/>
      <c r="E49" s="1" t="str" xml:space="preserve">
        <v>[LocalParam]BSM_WIDTH = </v>
      </c>
      <c r="F49" s="2" t="str">
        <v>$clog2(BSM_DEPTH)</v>
      </c>
      <c r="G49" s="2"/>
      <c r="H49" s="2"/>
      <c r="I49" s="2"/>
      <c r="J49" s="2"/>
      <c r="K49" s="1" t="str">
        <v>DDRC_SCRKBGBK_WIDTH</v>
      </c>
      <c r="L49" s="1" t="str">
        <v>DDRC_PA_SC_WIDTH+DDRC_PA_BK_WIDTH+DDRC_PA_BG_WIDTH+DDRC_PA_RK_WIDTH</v>
      </c>
      <c r="M49" s="2"/>
      <c r="N49" s="2"/>
      <c r="O49" s="2"/>
      <c r="P49" s="2"/>
      <c r="Q49" s="2"/>
      <c r="R49" s="2"/>
      <c r="S49" s="8" t="str" xml:space="preserve">
        <v>DDRC_LC_T_MRR_WIDTH  </v>
      </c>
      <c r="T49" s="9">
        <v>8</v>
      </c>
      <c r="U49" s="2"/>
      <c r="V49" s="2"/>
      <c r="W49" s="2"/>
      <c r="X49" s="2"/>
      <c r="Y49" s="8"/>
      <c r="Z49" s="8"/>
      <c r="AA49" s="2"/>
      <c r="AB49" s="2"/>
      <c r="AC49" s="2"/>
      <c r="AD49" s="2"/>
      <c r="AE49" s="2"/>
      <c r="AF49" s="2"/>
      <c r="AG49" s="2"/>
      <c r="AH49" s="2"/>
      <c r="AI49" s="2"/>
      <c r="AJ49" s="2" t="str">
        <v>DDRC_RASC_SPPR_HIT_W</v>
      </c>
      <c r="AK49" s="2">
        <v>1</v>
      </c>
      <c r="AL49" s="2"/>
      <c r="AM49" s="1"/>
      <c r="AN49" s="1"/>
    </row>
    <row r="50">
      <c r="A50" s="2"/>
      <c r="B50" s="10"/>
      <c r="C50" s="8"/>
      <c r="D50" s="2"/>
      <c r="E50" s="1" t="str">
        <v>DDRC_SCRKBGBK_WIDTH</v>
      </c>
      <c r="F50" s="2" t="str">
        <v>BG_WIDTH + RK_WIDTH + BK_WIDTH+SC_WIDTH</v>
      </c>
      <c r="G50" s="2"/>
      <c r="H50" s="2"/>
      <c r="I50" s="2"/>
      <c r="J50" s="2"/>
      <c r="K50" s="1" t="str">
        <v>DDRC_SCRK_WIDTH</v>
      </c>
      <c r="L50" s="1" t="str">
        <v>DDRC_PA_SC_WIDTH+DDRC_PA_RK_WIDTH</v>
      </c>
      <c r="M50" s="2"/>
      <c r="N50" s="2"/>
      <c r="O50" s="2"/>
      <c r="P50" s="2"/>
      <c r="Q50" s="2"/>
      <c r="R50" s="2"/>
      <c r="S50" s="8" t="str" xml:space="preserve">
        <v>DDRC_LC_T_XS_WIDTH </v>
      </c>
      <c r="T50" s="9">
        <v>11</v>
      </c>
      <c r="U50" s="2"/>
      <c r="V50" s="2"/>
      <c r="W50" s="2"/>
      <c r="X50" s="2"/>
      <c r="Y50" s="8"/>
      <c r="Z50" s="8"/>
      <c r="AA50" s="2"/>
      <c r="AB50" s="2"/>
      <c r="AC50" s="2"/>
      <c r="AD50" s="2"/>
      <c r="AE50" s="2"/>
      <c r="AF50" s="2"/>
      <c r="AG50" s="2"/>
      <c r="AH50" s="2"/>
      <c r="AI50" s="2"/>
      <c r="AJ50" s="2" t="str">
        <v>DDRC_RASC_SPPR_INDEX_W</v>
      </c>
      <c r="AK50" s="1" t="str">
        <v>DDRC_RASC_SPPR_SRAM_DEPTH_WIDTH</v>
      </c>
      <c r="AL50" s="2"/>
      <c r="AM50" s="1"/>
      <c r="AN50" s="1"/>
    </row>
    <row r="51">
      <c r="A51" s="2"/>
      <c r="B51" s="8"/>
      <c r="C51" s="8"/>
      <c r="D51" s="2"/>
      <c r="E51" s="1" t="str">
        <v>DDRC_SCRK_WIDTH</v>
      </c>
      <c r="F51" s="2" t="str">
        <v>RK_WIDTH + SC_WIDTH</v>
      </c>
      <c r="G51" s="2"/>
      <c r="H51" s="1"/>
      <c r="I51" s="1"/>
      <c r="J51" s="2"/>
      <c r="K51" s="1" t="str">
        <v>DDRC_SCRKBK_WIDTH</v>
      </c>
      <c r="L51" s="1" t="str">
        <v>DDRC_PA_SC_WIDTH+DDRC_PA_RK_WIDTH+DDRC_PA_BK_WIDTH</v>
      </c>
      <c r="M51" s="2"/>
      <c r="N51" s="2"/>
      <c r="O51" s="2"/>
      <c r="P51" s="2"/>
      <c r="Q51" s="2"/>
      <c r="R51" s="2"/>
      <c r="S51" s="8" t="str" xml:space="preserve">
        <v>DDRC_LC_T_RFC1_WIDTH </v>
      </c>
      <c r="T51" s="9">
        <v>11</v>
      </c>
      <c r="U51" s="2"/>
      <c r="V51" s="2"/>
      <c r="W51" s="2"/>
      <c r="X51" s="2"/>
      <c r="Y51" s="8"/>
      <c r="Z51" s="8"/>
      <c r="AA51" s="2"/>
      <c r="AB51" s="2"/>
      <c r="AC51" s="2"/>
      <c r="AD51" s="2"/>
      <c r="AE51" s="2"/>
      <c r="AF51" s="2"/>
      <c r="AG51" s="2"/>
      <c r="AH51" s="2"/>
      <c r="AI51" s="2"/>
      <c r="AJ51" s="2" t="str">
        <v>DDRC_RASC_RETRY_INDEX_W</v>
      </c>
      <c r="AK51" s="1" t="str">
        <v>$clog2(DDRC_RASC_UE_RETRY_ENTRY_NUM)</v>
      </c>
      <c r="AL51" s="2"/>
      <c r="AM51" s="1"/>
      <c r="AN51" s="1"/>
    </row>
    <row r="52">
      <c r="A52" s="2"/>
      <c r="B52" s="8"/>
      <c r="C52" s="8"/>
      <c r="D52" s="2"/>
      <c r="E52" s="1"/>
      <c r="F52" s="2"/>
      <c r="G52" s="2"/>
      <c r="H52" s="1"/>
      <c r="I52" s="1"/>
      <c r="J52" s="2"/>
      <c r="K52" s="1" t="str">
        <v>RK_NUM</v>
      </c>
      <c r="L52" s="1" t="str">
        <v>2*DDRC_PA_RK_WIDTH</v>
      </c>
      <c r="M52" s="2"/>
      <c r="N52" s="2"/>
      <c r="O52" s="2"/>
      <c r="P52" s="2"/>
      <c r="Q52" s="2"/>
      <c r="R52" s="2"/>
      <c r="S52" s="8" t="str">
        <v>DDRC_LC_T_RFC2_WIDTH</v>
      </c>
      <c r="T52" s="9">
        <v>10</v>
      </c>
      <c r="U52" s="2"/>
      <c r="V52" s="2"/>
      <c r="W52" s="2"/>
      <c r="X52" s="2"/>
      <c r="Y52" s="8"/>
      <c r="Z52" s="8"/>
      <c r="AA52" s="2"/>
      <c r="AB52" s="2"/>
      <c r="AC52" s="2"/>
      <c r="AD52" s="2"/>
      <c r="AE52" s="2"/>
      <c r="AF52" s="2"/>
      <c r="AG52" s="2"/>
      <c r="AH52" s="2"/>
      <c r="AI52" s="2"/>
      <c r="AJ52" s="2" t="str">
        <v>DDRC_RASC_RETRY_NUM_W</v>
      </c>
      <c r="AK52" s="2">
        <v>2</v>
      </c>
      <c r="AL52" s="2"/>
      <c r="AM52" s="1"/>
      <c r="AN52" s="1"/>
    </row>
    <row r="53">
      <c r="A53" s="2"/>
      <c r="B53" s="10"/>
      <c r="C53" s="10"/>
      <c r="D53" s="2"/>
      <c r="E53" s="1"/>
      <c r="F53" s="2"/>
      <c r="G53" s="2"/>
      <c r="H53" s="1"/>
      <c r="I53" s="1"/>
      <c r="J53" s="2"/>
      <c r="K53" s="1" t="str">
        <v>SC_NUM</v>
      </c>
      <c r="L53" s="1" t="str">
        <v>2*DDRC_PA_SC_WIDTH</v>
      </c>
      <c r="M53" s="2"/>
      <c r="N53" s="2"/>
      <c r="O53" s="2"/>
      <c r="P53" s="2"/>
      <c r="Q53" s="2"/>
      <c r="R53" s="2"/>
      <c r="S53" s="8" t="str">
        <v>DDRC_LC_T_RFCSB_WIDTH</v>
      </c>
      <c r="T53" s="9">
        <v>10</v>
      </c>
      <c r="U53" s="2"/>
      <c r="V53" s="2"/>
      <c r="W53" s="2"/>
      <c r="X53" s="2"/>
      <c r="Y53" s="8"/>
      <c r="Z53" s="8"/>
      <c r="AA53" s="2"/>
      <c r="AB53" s="2"/>
      <c r="AC53" s="2"/>
      <c r="AD53" s="2"/>
      <c r="AE53" s="2"/>
      <c r="AF53" s="2"/>
      <c r="AG53" s="2"/>
      <c r="AH53" s="2"/>
      <c r="AI53" s="2"/>
      <c r="AJ53" s="2" t="str">
        <v>DDRC_RASC_SEC_EN_W</v>
      </c>
      <c r="AK53" s="2">
        <v>1</v>
      </c>
      <c r="AL53" s="2"/>
      <c r="AM53" s="1"/>
      <c r="AN53" s="1"/>
    </row>
    <row r="54">
      <c r="A54" s="2"/>
      <c r="B54" s="1"/>
      <c r="C54" s="1"/>
      <c r="D54" s="2"/>
      <c r="E54" s="1"/>
      <c r="F54" s="2"/>
      <c r="G54" s="2"/>
      <c r="H54" s="1"/>
      <c r="I54" s="1"/>
      <c r="J54" s="2"/>
      <c r="K54" s="1"/>
      <c r="L54" s="1"/>
      <c r="M54" s="2"/>
      <c r="N54" s="2"/>
      <c r="O54" s="2"/>
      <c r="P54" s="2"/>
      <c r="Q54" s="2"/>
      <c r="R54" s="2"/>
      <c r="S54" s="8" t="str">
        <v>DDRC_LC_T_RFSBRD_WIDTH</v>
      </c>
      <c r="T54" s="9">
        <v>8</v>
      </c>
      <c r="U54" s="2"/>
      <c r="V54" s="2"/>
      <c r="W54" s="2"/>
      <c r="X54" s="2"/>
      <c r="Y54" s="8"/>
      <c r="Z54" s="8"/>
      <c r="AA54" s="2"/>
      <c r="AB54" s="2"/>
      <c r="AC54" s="2"/>
      <c r="AD54" s="2"/>
      <c r="AE54" s="2"/>
      <c r="AF54" s="2"/>
      <c r="AG54" s="2"/>
      <c r="AH54" s="2"/>
      <c r="AI54" s="2"/>
      <c r="AJ54" s="2" t="str">
        <v>DDRC_RASC_RASC_SB_WIDTH</v>
      </c>
      <c r="AK54" s="2" t="str">
        <v>DDRC_RASC_RASC_SRC_W+DDRC_RASC_ACLS_HIT_W+DDRC_RASC_ACLS_INDEX_W+DDRC_RASC_SPPR_HIT_W+DDRC_RASC_SPPR_INDEX_W+DDRC_RASC_RETRY_INDEX_W+DDRC_RASC_RETRY_NUM_W+DDRC_RASC_SEC_EN_W</v>
      </c>
      <c r="AL54" s="2"/>
      <c r="AM54" s="1"/>
      <c r="AN54" s="1"/>
    </row>
    <row r="55">
      <c r="A55" s="2"/>
      <c r="B55" s="1"/>
      <c r="C55" s="1"/>
      <c r="D55" s="2"/>
      <c r="E55" s="1"/>
      <c r="F55" s="2"/>
      <c r="G55" s="2"/>
      <c r="H55" s="1"/>
      <c r="I55" s="1"/>
      <c r="J55" s="2"/>
      <c r="K55" s="1"/>
      <c r="L55" s="1"/>
      <c r="M55" s="2"/>
      <c r="N55" s="2"/>
      <c r="O55" s="2"/>
      <c r="P55" s="2"/>
      <c r="Q55" s="2"/>
      <c r="R55" s="2"/>
      <c r="S55" s="8" t="str" xml:space="preserve">
        <v>DDRC_LC_T_RFC_DPR_WIDTH  </v>
      </c>
      <c r="T55" s="9">
        <v>10</v>
      </c>
      <c r="U55" s="2"/>
      <c r="V55" s="2"/>
      <c r="W55" s="2"/>
      <c r="X55" s="2"/>
      <c r="Y55" s="8"/>
      <c r="Z55" s="8"/>
      <c r="AA55" s="2"/>
      <c r="AB55" s="2"/>
      <c r="AC55" s="2"/>
      <c r="AD55" s="2"/>
      <c r="AE55" s="2"/>
      <c r="AF55" s="2"/>
      <c r="AG55" s="2"/>
      <c r="AH55" s="2"/>
      <c r="AI55" s="2"/>
      <c r="AJ55" s="2" t="str">
        <v>DDRC_RASC_RASC_SRC_F</v>
      </c>
      <c r="AK55" s="2">
        <v>0</v>
      </c>
      <c r="AL55" s="2"/>
      <c r="AM55" s="1"/>
      <c r="AN55" s="1"/>
    </row>
    <row r="56">
      <c r="A56" s="2"/>
      <c r="B56" s="1"/>
      <c r="C56" s="1"/>
      <c r="D56" s="2"/>
      <c r="E56" s="1"/>
      <c r="F56" s="2"/>
      <c r="G56" s="2"/>
      <c r="H56" s="1"/>
      <c r="I56" s="1"/>
      <c r="J56" s="2"/>
      <c r="K56" s="1"/>
      <c r="L56" s="1"/>
      <c r="M56" s="2"/>
      <c r="N56" s="2"/>
      <c r="O56" s="2"/>
      <c r="P56" s="2"/>
      <c r="Q56" s="2"/>
      <c r="R56" s="2"/>
      <c r="S56" s="8" t="str">
        <v>DDRC_LC_T_XP_WIDTH</v>
      </c>
      <c r="T56" s="9">
        <v>5</v>
      </c>
      <c r="U56" s="2"/>
      <c r="V56" s="2"/>
      <c r="W56" s="2"/>
      <c r="X56" s="2"/>
      <c r="Y56" s="8"/>
      <c r="Z56" s="8"/>
      <c r="AA56" s="2"/>
      <c r="AB56" s="2"/>
      <c r="AC56" s="2"/>
      <c r="AD56" s="2"/>
      <c r="AE56" s="2"/>
      <c r="AF56" s="2"/>
      <c r="AG56" s="2"/>
      <c r="AH56" s="2"/>
      <c r="AI56" s="2"/>
      <c r="AJ56" s="2" t="str">
        <v>DDRC_RASC_ACLS_HIT_F</v>
      </c>
      <c r="AK56" s="2" t="str">
        <v>DDRC_RASC_RASC_SRC_F + DDRC_RASC_RASC_SRC_W</v>
      </c>
      <c r="AL56" s="2"/>
      <c r="AM56" s="1"/>
      <c r="AN56" s="1"/>
    </row>
    <row r="57">
      <c r="A57" s="2"/>
      <c r="B57" s="1"/>
      <c r="C57" s="1"/>
      <c r="D57" s="2"/>
      <c r="E57" s="1"/>
      <c r="F57" s="2"/>
      <c r="G57" s="2"/>
      <c r="H57" s="1"/>
      <c r="I57" s="1"/>
      <c r="J57" s="2"/>
      <c r="K57" s="1"/>
      <c r="L57" s="1"/>
      <c r="M57" s="2"/>
      <c r="N57" s="2"/>
      <c r="O57" s="2"/>
      <c r="P57" s="2"/>
      <c r="Q57" s="2"/>
      <c r="R57" s="2"/>
      <c r="S57" s="8" t="str" xml:space="preserve">
        <v>DDRC_LC_T_ZQLAT_WIDTH </v>
      </c>
      <c r="T57" s="9">
        <v>7</v>
      </c>
      <c r="U57" s="2"/>
      <c r="V57" s="2"/>
      <c r="W57" s="2"/>
      <c r="X57" s="2"/>
      <c r="Y57" s="8"/>
      <c r="Z57" s="8"/>
      <c r="AA57" s="2"/>
      <c r="AB57" s="2"/>
      <c r="AC57" s="2"/>
      <c r="AD57" s="2"/>
      <c r="AE57" s="2"/>
      <c r="AF57" s="2"/>
      <c r="AG57" s="2"/>
      <c r="AH57" s="2"/>
      <c r="AI57" s="2"/>
      <c r="AJ57" s="2" t="str">
        <v>DDRC_RASC_ACLS_INDEX_F</v>
      </c>
      <c r="AK57" s="2" t="str">
        <v>DDRC_RASC_ACLS_HIT_F + DDRC_RASC_ACLS_HIT_W</v>
      </c>
      <c r="AL57" s="2"/>
      <c r="AM57" s="1"/>
      <c r="AN57" s="1"/>
    </row>
    <row r="58">
      <c r="A58" s="2"/>
      <c r="B58" s="1"/>
      <c r="C58" s="1"/>
      <c r="D58" s="2"/>
      <c r="E58" s="1"/>
      <c r="F58" s="2"/>
      <c r="G58" s="2"/>
      <c r="H58" s="1"/>
      <c r="I58" s="1"/>
      <c r="J58" s="2"/>
      <c r="K58" s="1"/>
      <c r="L58" s="1"/>
      <c r="M58" s="2"/>
      <c r="N58" s="2"/>
      <c r="O58" s="2"/>
      <c r="P58" s="2"/>
      <c r="Q58" s="2"/>
      <c r="R58" s="2"/>
      <c r="S58" s="8" t="str" xml:space="preserve">
        <v>DDRC_LC_T_RCD_WIDTH  </v>
      </c>
      <c r="T58" s="9">
        <v>7</v>
      </c>
      <c r="U58" s="2"/>
      <c r="V58" s="2"/>
      <c r="W58" s="2"/>
      <c r="X58" s="2"/>
      <c r="Y58" s="8"/>
      <c r="Z58" s="8"/>
      <c r="AA58" s="2"/>
      <c r="AB58" s="2"/>
      <c r="AC58" s="2"/>
      <c r="AD58" s="2"/>
      <c r="AE58" s="2"/>
      <c r="AF58" s="2"/>
      <c r="AG58" s="2"/>
      <c r="AH58" s="2"/>
      <c r="AI58" s="2"/>
      <c r="AJ58" s="2" t="str">
        <v>DDRC_RASC_SPPR_HIT_F</v>
      </c>
      <c r="AK58" s="2" t="str">
        <v>DDRC_RASC_ACLS_INDEX_F + DDRC_RASC_ACLS_INDEX_W</v>
      </c>
      <c r="AL58" s="2"/>
      <c r="AM58" s="1"/>
      <c r="AN58" s="1"/>
    </row>
    <row r="59">
      <c r="A59" s="2"/>
      <c r="B59" s="1"/>
      <c r="C59" s="1"/>
      <c r="D59" s="2"/>
      <c r="E59" s="1"/>
      <c r="F59" s="2"/>
      <c r="G59" s="2"/>
      <c r="H59" s="1"/>
      <c r="I59" s="1"/>
      <c r="J59" s="2"/>
      <c r="K59" s="1"/>
      <c r="L59" s="1"/>
      <c r="M59" s="2"/>
      <c r="N59" s="2"/>
      <c r="O59" s="2"/>
      <c r="P59" s="2"/>
      <c r="Q59" s="2"/>
      <c r="R59" s="2"/>
      <c r="S59" s="8" t="str">
        <v>DDRC_LC_T_RAS_WIDTH</v>
      </c>
      <c r="T59" s="9">
        <v>8</v>
      </c>
      <c r="U59" s="2"/>
      <c r="V59" s="2"/>
      <c r="W59" s="2"/>
      <c r="X59" s="2"/>
      <c r="Y59" s="8"/>
      <c r="Z59" s="8"/>
      <c r="AA59" s="2"/>
      <c r="AB59" s="2"/>
      <c r="AC59" s="2"/>
      <c r="AD59" s="2"/>
      <c r="AE59" s="2"/>
      <c r="AF59" s="2"/>
      <c r="AG59" s="2"/>
      <c r="AH59" s="2"/>
      <c r="AI59" s="2"/>
      <c r="AJ59" s="2" t="str">
        <v>DDRC_RASC_SPPR_INDEX_F</v>
      </c>
      <c r="AK59" s="2" t="str">
        <v>DDRC_RASC_SPPR_HIT_F + DDRC_RASC_SPPR_HIT_W</v>
      </c>
      <c r="AL59" s="2"/>
      <c r="AM59" s="1"/>
      <c r="AN59" s="1"/>
    </row>
    <row r="60">
      <c r="A60" s="2"/>
      <c r="B60" s="1"/>
      <c r="C60" s="1"/>
      <c r="D60" s="2"/>
      <c r="E60" s="1"/>
      <c r="F60" s="2"/>
      <c r="G60" s="2"/>
      <c r="H60" s="1"/>
      <c r="I60" s="1"/>
      <c r="J60" s="2"/>
      <c r="K60" s="1"/>
      <c r="L60" s="1"/>
      <c r="M60" s="2"/>
      <c r="N60" s="2"/>
      <c r="O60" s="2"/>
      <c r="P60" s="2"/>
      <c r="Q60" s="2"/>
      <c r="R60" s="2"/>
      <c r="S60" s="8" t="str" xml:space="preserve">
        <v>DDRC_LC_T_CCD_L_WIDTH </v>
      </c>
      <c r="T60" s="9">
        <v>6</v>
      </c>
      <c r="U60" s="2"/>
      <c r="V60" s="2"/>
      <c r="W60" s="2"/>
      <c r="X60" s="2"/>
      <c r="Y60" s="8"/>
      <c r="Z60" s="8"/>
      <c r="AA60" s="2"/>
      <c r="AB60" s="2"/>
      <c r="AC60" s="2"/>
      <c r="AD60" s="2"/>
      <c r="AE60" s="2"/>
      <c r="AF60" s="2"/>
      <c r="AG60" s="2"/>
      <c r="AH60" s="2"/>
      <c r="AI60" s="2"/>
      <c r="AJ60" s="2" t="str">
        <v>DDRC_RASC_RETRY_INDEX_F</v>
      </c>
      <c r="AK60" s="2" t="str">
        <v>DDRC_RASC_SPPR_INDEX_F + DDRC_RASC_SPPR_INDEX_W</v>
      </c>
      <c r="AL60" s="2"/>
      <c r="AM60" s="1"/>
      <c r="AN60" s="1"/>
    </row>
    <row r="61">
      <c r="A61" s="2"/>
      <c r="B61" s="1"/>
      <c r="C61" s="1"/>
      <c r="D61" s="2"/>
      <c r="E61" s="1"/>
      <c r="F61" s="2"/>
      <c r="G61" s="2"/>
      <c r="H61" s="1"/>
      <c r="I61" s="1"/>
      <c r="J61" s="2"/>
      <c r="K61" s="1"/>
      <c r="L61" s="1"/>
      <c r="M61" s="2"/>
      <c r="N61" s="2"/>
      <c r="O61" s="2"/>
      <c r="P61" s="2"/>
      <c r="Q61" s="2"/>
      <c r="R61" s="2"/>
      <c r="S61" s="8" t="str" xml:space="preserve">
        <v>DDRC_LC_T_CCD_S_WIDTH </v>
      </c>
      <c r="T61" s="9">
        <v>5</v>
      </c>
      <c r="U61" s="2"/>
      <c r="V61" s="2"/>
      <c r="W61" s="2"/>
      <c r="X61" s="2"/>
      <c r="Y61" s="8"/>
      <c r="Z61" s="8"/>
      <c r="AA61" s="2"/>
      <c r="AB61" s="2"/>
      <c r="AC61" s="2"/>
      <c r="AD61" s="2"/>
      <c r="AE61" s="2"/>
      <c r="AF61" s="2"/>
      <c r="AG61" s="2"/>
      <c r="AH61" s="2"/>
      <c r="AI61" s="2"/>
      <c r="AJ61" s="2" t="str">
        <v>DDRC_RASC_RETRY_NUM_F</v>
      </c>
      <c r="AK61" s="2" t="str">
        <v>DDRC_RASC_RETRY_INDEX_F + DDRC_RASC_RETRY_INDEX_W</v>
      </c>
      <c r="AL61" s="2"/>
      <c r="AM61" s="1"/>
      <c r="AN61" s="1"/>
    </row>
    <row r="62">
      <c r="A62" s="2"/>
      <c r="B62" s="1"/>
      <c r="C62" s="1"/>
      <c r="D62" s="2"/>
      <c r="E62" s="1"/>
      <c r="F62" s="2"/>
      <c r="G62" s="2"/>
      <c r="H62" s="1"/>
      <c r="I62" s="1"/>
      <c r="J62" s="2"/>
      <c r="K62" s="1"/>
      <c r="L62" s="1"/>
      <c r="M62" s="2"/>
      <c r="N62" s="2"/>
      <c r="O62" s="2"/>
      <c r="P62" s="2"/>
      <c r="Q62" s="2"/>
      <c r="R62" s="2"/>
      <c r="S62" s="8" t="str" xml:space="preserve">
        <v>DDRC_LC_T_CCD_L_WTR_WIDTH </v>
      </c>
      <c r="T62" s="9">
        <v>8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 t="str">
        <v>DDRC_RASC_SEC_EN_F</v>
      </c>
      <c r="AK62" s="2" t="str">
        <v>DDRC_RASC_RETRY_NUM_F + DDRC_RASC_RETRY_NUM_W</v>
      </c>
      <c r="AL62" s="2"/>
      <c r="AM62" s="1"/>
      <c r="AN62" s="1"/>
    </row>
    <row r="63">
      <c r="A63" s="2"/>
      <c r="B63" s="1"/>
      <c r="C63" s="1"/>
      <c r="D63" s="2"/>
      <c r="E63" s="1"/>
      <c r="F63" s="2"/>
      <c r="G63" s="2"/>
      <c r="H63" s="1"/>
      <c r="I63" s="1"/>
      <c r="J63" s="2"/>
      <c r="K63" s="1"/>
      <c r="L63" s="1"/>
      <c r="M63" s="2"/>
      <c r="N63" s="2"/>
      <c r="O63" s="2"/>
      <c r="P63" s="2"/>
      <c r="Q63" s="2"/>
      <c r="R63" s="2"/>
      <c r="S63" s="8" t="str" xml:space="preserve">
        <v>DDRC_LC_T_CCD_WTRA_WIDTH  </v>
      </c>
      <c r="T63" s="9">
        <v>9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 t="str">
        <v>DDRC_RASC_PS</v>
      </c>
      <c r="AK63" s="2" t="str">
        <v>3'b001</v>
      </c>
      <c r="AL63" s="2"/>
      <c r="AM63" s="1"/>
      <c r="AN63" s="1"/>
    </row>
    <row r="64">
      <c r="A64" s="2"/>
      <c r="B64" s="1"/>
      <c r="C64" s="1"/>
      <c r="D64" s="2"/>
      <c r="E64" s="1"/>
      <c r="F64" s="2"/>
      <c r="G64" s="2"/>
      <c r="H64" s="1"/>
      <c r="I64" s="1"/>
      <c r="J64" s="2"/>
      <c r="K64" s="1"/>
      <c r="L64" s="1"/>
      <c r="M64" s="2"/>
      <c r="N64" s="2"/>
      <c r="O64" s="2"/>
      <c r="P64" s="2"/>
      <c r="Q64" s="2"/>
      <c r="R64" s="2"/>
      <c r="S64" s="8" t="str">
        <v>DDRC_LC_T_CCD_S_WTR_WIDTH</v>
      </c>
      <c r="T64" s="9">
        <v>7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 t="str">
        <v>DDRC_RASC_DS</v>
      </c>
      <c r="AK64" s="2" t="str">
        <v>3'b110</v>
      </c>
      <c r="AL64" s="2"/>
      <c r="AM64" s="1"/>
      <c r="AN64" s="1"/>
    </row>
    <row r="65">
      <c r="A65" s="2"/>
      <c r="B65" s="1"/>
      <c r="C65" s="1"/>
      <c r="D65" s="2"/>
      <c r="E65" s="1"/>
      <c r="F65" s="2"/>
      <c r="G65" s="2"/>
      <c r="H65" s="1"/>
      <c r="I65" s="1"/>
      <c r="J65" s="2"/>
      <c r="K65" s="1"/>
      <c r="L65" s="1"/>
      <c r="M65" s="2"/>
      <c r="N65" s="2"/>
      <c r="O65" s="2"/>
      <c r="P65" s="2"/>
      <c r="Q65" s="2"/>
      <c r="R65" s="2"/>
      <c r="S65" s="8" t="str" xml:space="preserve">
        <v>DDRC_LC_T_XS_DLL_WIDTH </v>
      </c>
      <c r="T65" s="9">
        <v>12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 t="str">
        <v>DDRC_RASC_RETRY</v>
      </c>
      <c r="AK65" s="2" t="str">
        <v>3'b111</v>
      </c>
      <c r="AL65" s="2"/>
      <c r="AM65" s="1"/>
      <c r="AN65" s="1"/>
    </row>
    <row r="66">
      <c r="A66" s="2"/>
      <c r="B66" s="1"/>
      <c r="C66" s="1"/>
      <c r="D66" s="2"/>
      <c r="E66" s="1"/>
      <c r="F66" s="2"/>
      <c r="G66" s="2"/>
      <c r="H66" s="1"/>
      <c r="I66" s="1"/>
      <c r="J66" s="2"/>
      <c r="K66" s="1"/>
      <c r="L66" s="1"/>
      <c r="M66" s="2"/>
      <c r="N66" s="2"/>
      <c r="O66" s="2"/>
      <c r="P66" s="2"/>
      <c r="Q66" s="2"/>
      <c r="R66" s="2"/>
      <c r="S66" s="8" t="str" xml:space="preserve">
        <v>DDRC_LC_T_CCD_L_RTW_WIDTH </v>
      </c>
      <c r="T66" s="9">
        <v>6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 t="str">
        <v>DDRC_RASC_SP</v>
      </c>
      <c r="AK66" s="2" t="str">
        <v>3'b100</v>
      </c>
      <c r="AL66" s="2"/>
      <c r="AM66" s="1"/>
      <c r="AN66" s="1"/>
    </row>
    <row r="67">
      <c r="A67" s="2"/>
      <c r="B67" s="1"/>
      <c r="C67" s="1"/>
      <c r="D67" s="2"/>
      <c r="E67" s="1"/>
      <c r="F67" s="2"/>
      <c r="G67" s="2"/>
      <c r="H67" s="1"/>
      <c r="I67" s="1"/>
      <c r="J67" s="2"/>
      <c r="K67" s="1"/>
      <c r="L67" s="1"/>
      <c r="M67" s="2"/>
      <c r="N67" s="2"/>
      <c r="O67" s="2"/>
      <c r="P67" s="2"/>
      <c r="Q67" s="2"/>
      <c r="R67" s="2"/>
      <c r="S67" s="8" t="str" xml:space="preserve">
        <v>DDRC_LC_T_CCD_S_RTW_WIDTH </v>
      </c>
      <c r="T67" s="9">
        <v>5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 t="str">
        <v>DDRC_RASC_SP_ACLS</v>
      </c>
      <c r="AK67" s="2" t="str">
        <v>3'b000</v>
      </c>
      <c r="AL67" s="2"/>
      <c r="AM67" s="1"/>
      <c r="AN67" s="1"/>
    </row>
    <row r="68">
      <c r="A68" s="2"/>
      <c r="B68" s="1"/>
      <c r="C68" s="1"/>
      <c r="D68" s="2"/>
      <c r="E68" s="1"/>
      <c r="F68" s="2"/>
      <c r="G68" s="2"/>
      <c r="H68" s="1"/>
      <c r="I68" s="1"/>
      <c r="J68" s="2"/>
      <c r="K68" s="1"/>
      <c r="L68" s="1"/>
      <c r="M68" s="2"/>
      <c r="N68" s="2"/>
      <c r="O68" s="2"/>
      <c r="P68" s="2"/>
      <c r="Q68" s="2"/>
      <c r="R68" s="2"/>
      <c r="S68" s="8" t="str" xml:space="preserve">
        <v>DDRC_LC_T_CCD_L_WR_WIDTH  </v>
      </c>
      <c r="T68" s="9">
        <v>8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 t="str">
        <v>DDRC_RASC_SP_SPPR</v>
      </c>
      <c r="AK68" s="2" t="str">
        <v>3'b001</v>
      </c>
      <c r="AL68" s="2"/>
      <c r="AM68" s="1"/>
      <c r="AN68" s="1"/>
    </row>
    <row r="69">
      <c r="A69" s="2"/>
      <c r="B69" s="1"/>
      <c r="C69" s="1"/>
      <c r="D69" s="2"/>
      <c r="E69" s="1"/>
      <c r="F69" s="2"/>
      <c r="G69" s="2"/>
      <c r="H69" s="1"/>
      <c r="I69" s="1"/>
      <c r="J69" s="2"/>
      <c r="K69" s="1"/>
      <c r="L69" s="1"/>
      <c r="M69" s="2"/>
      <c r="N69" s="2"/>
      <c r="O69" s="2"/>
      <c r="P69" s="2"/>
      <c r="Q69" s="2"/>
      <c r="R69" s="2"/>
      <c r="S69" s="8" t="str" xml:space="preserve">
        <v>DDRC_LC_T_CCD_L_WR2_WIDTH </v>
      </c>
      <c r="T69" s="9">
        <v>7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 t="str">
        <v>DDRC_RASC_SP_ROWSP</v>
      </c>
      <c r="AK69" s="2" t="str">
        <v>3'b010</v>
      </c>
      <c r="AL69" s="2"/>
      <c r="AM69" s="1"/>
      <c r="AN69" s="1"/>
    </row>
    <row r="70">
      <c r="A70" s="2"/>
      <c r="B70" s="1"/>
      <c r="C70" s="1"/>
      <c r="D70" s="2"/>
      <c r="E70" s="1"/>
      <c r="F70" s="2"/>
      <c r="G70" s="2"/>
      <c r="H70" s="1"/>
      <c r="I70" s="1"/>
      <c r="J70" s="2"/>
      <c r="K70" s="1"/>
      <c r="L70" s="1"/>
      <c r="M70" s="2"/>
      <c r="N70" s="2"/>
      <c r="O70" s="2"/>
      <c r="P70" s="2"/>
      <c r="Q70" s="2"/>
      <c r="R70" s="2"/>
      <c r="S70" s="8" t="str" xml:space="preserve">
        <v>DDRC_LC_T_CCD_S_WR_WIDTH </v>
      </c>
      <c r="T70" s="9">
        <v>6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 t="str">
        <v>DDRC_RASC_SP_ACLS_REDUCTION</v>
      </c>
      <c r="AK70" s="2" t="str">
        <v>3'b011</v>
      </c>
      <c r="AL70" s="2"/>
      <c r="AM70" s="1"/>
      <c r="AN70" s="1"/>
    </row>
    <row r="71">
      <c r="A71" s="2"/>
      <c r="B71" s="1"/>
      <c r="C71" s="1"/>
      <c r="D71" s="2"/>
      <c r="E71" s="1"/>
      <c r="F71" s="2"/>
      <c r="G71" s="2"/>
      <c r="H71" s="1"/>
      <c r="I71" s="1"/>
      <c r="J71" s="2"/>
      <c r="K71" s="1"/>
      <c r="L71" s="1"/>
      <c r="M71" s="2"/>
      <c r="N71" s="2"/>
      <c r="O71" s="2"/>
      <c r="P71" s="2"/>
      <c r="Q71" s="2"/>
      <c r="R71" s="2"/>
      <c r="S71" s="8" t="str">
        <v>DDRC_LC_T_PPD_WIDTH</v>
      </c>
      <c r="T71" s="9">
        <v>4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 t="str">
        <v>DDRC_RASC_SP_SPPR_REDUCTION</v>
      </c>
      <c r="AK71" s="2" t="str">
        <v>3'b100</v>
      </c>
      <c r="AL71" s="2"/>
      <c r="AM71" s="1"/>
      <c r="AN71" s="1"/>
    </row>
    <row r="72">
      <c r="A72" s="2"/>
      <c r="B72" s="1"/>
      <c r="C72" s="1"/>
      <c r="D72" s="2"/>
      <c r="E72" s="1"/>
      <c r="F72" s="2"/>
      <c r="G72" s="2"/>
      <c r="H72" s="1"/>
      <c r="I72" s="1"/>
      <c r="J72" s="2"/>
      <c r="K72" s="1"/>
      <c r="L72" s="1"/>
      <c r="M72" s="2"/>
      <c r="N72" s="2"/>
      <c r="O72" s="2"/>
      <c r="P72" s="2"/>
      <c r="Q72" s="2"/>
      <c r="R72" s="2"/>
      <c r="S72" s="8" t="str" xml:space="preserve">
        <v>DDRC_LC_T_WTP_WIDTH </v>
      </c>
      <c r="T72" s="9">
        <v>9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 t="str">
        <v>DDRC_RASC_SP_ROWSP_REDUCTION</v>
      </c>
      <c r="AK72" s="2" t="str">
        <v>3'b101</v>
      </c>
      <c r="AL72" s="2"/>
      <c r="AM72" s="1"/>
      <c r="AN72" s="1"/>
    </row>
    <row r="73">
      <c r="A73" s="2"/>
      <c r="B73" s="1"/>
      <c r="C73" s="1"/>
      <c r="D73" s="2"/>
      <c r="E73" s="1"/>
      <c r="F73" s="2"/>
      <c r="G73" s="2"/>
      <c r="H73" s="1"/>
      <c r="I73" s="1"/>
      <c r="J73" s="2"/>
      <c r="K73" s="1"/>
      <c r="L73" s="1"/>
      <c r="M73" s="2"/>
      <c r="N73" s="2"/>
      <c r="O73" s="2"/>
      <c r="P73" s="2"/>
      <c r="Q73" s="2"/>
      <c r="R73" s="2"/>
      <c r="S73" s="8" t="str" xml:space="preserve">
        <v>DDRC_LC_T_WRA2ACT_WIDTH </v>
      </c>
      <c r="T73" s="9">
        <v>9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 t="str">
        <v>DDRC_RASC_RASC</v>
      </c>
      <c r="AK73" s="2" t="str">
        <v>4'b1000</v>
      </c>
      <c r="AL73" s="2"/>
      <c r="AM73" s="1"/>
      <c r="AN73" s="1"/>
    </row>
    <row r="74">
      <c r="A74" s="2"/>
      <c r="B74" s="1"/>
      <c r="C74" s="1"/>
      <c r="D74" s="2"/>
      <c r="E74" s="1"/>
      <c r="F74" s="2"/>
      <c r="G74" s="2"/>
      <c r="H74" s="1"/>
      <c r="I74" s="1"/>
      <c r="J74" s="2"/>
      <c r="K74" s="1"/>
      <c r="L74" s="1"/>
      <c r="M74" s="2"/>
      <c r="N74" s="2"/>
      <c r="O74" s="2"/>
      <c r="P74" s="2"/>
      <c r="Q74" s="2"/>
      <c r="R74" s="2"/>
      <c r="S74" s="8" t="str" xml:space="preserve">
        <v>DDRC_LC_DDRC_LC_T_RDA2ACT_WIDTH </v>
      </c>
      <c r="T74" s="9">
        <v>8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 t="str">
        <v>DDRC_RASC_CHB</v>
      </c>
      <c r="AK74" s="11" t="str">
        <v>4'b0001~4'b0011</v>
      </c>
      <c r="AL74" s="2"/>
      <c r="AM74" s="1"/>
      <c r="AN74" s="1"/>
    </row>
    <row r="75">
      <c r="A75" s="2"/>
      <c r="B75" s="1"/>
      <c r="C75" s="1"/>
      <c r="D75" s="2"/>
      <c r="E75" s="1"/>
      <c r="F75" s="2"/>
      <c r="G75" s="2"/>
      <c r="H75" s="1"/>
      <c r="I75" s="1"/>
      <c r="J75" s="2"/>
      <c r="K75" s="1"/>
      <c r="L75" s="1"/>
      <c r="M75" s="2"/>
      <c r="N75" s="2"/>
      <c r="O75" s="2"/>
      <c r="P75" s="2"/>
      <c r="Q75" s="2"/>
      <c r="R75" s="2"/>
      <c r="S75" s="8" t="str">
        <v>DDRC_LC_T_RFC1_DPR_WIDTH</v>
      </c>
      <c r="T75" s="9">
        <v>10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 t="str">
        <v>DDRC_RASC_PB</v>
      </c>
      <c r="AK75" s="2" t="str">
        <v>4'b1111</v>
      </c>
      <c r="AL75" s="2"/>
      <c r="AM75" s="1"/>
      <c r="AN75" s="1"/>
    </row>
    <row r="76">
      <c r="A76" s="2"/>
      <c r="B76" s="1"/>
      <c r="C76" s="1"/>
      <c r="D76" s="2"/>
      <c r="E76" s="1"/>
      <c r="F76" s="2"/>
      <c r="G76" s="2"/>
      <c r="H76" s="1"/>
      <c r="I76" s="1"/>
      <c r="J76" s="2"/>
      <c r="K76" s="1"/>
      <c r="L76" s="1"/>
      <c r="M76" s="2"/>
      <c r="N76" s="2"/>
      <c r="O76" s="2"/>
      <c r="P76" s="2"/>
      <c r="Q76" s="2"/>
      <c r="R76" s="2"/>
      <c r="S76" s="8" t="str" xml:space="preserve">
        <v>DDRC_LC_T_RFC2_DPR_WIDTH </v>
      </c>
      <c r="T76" s="9">
        <v>9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 t="str">
        <v>DDRC_RASC_M0</v>
      </c>
      <c r="AK76" s="11" t="str">
        <v>4'b1001~4'b1110</v>
      </c>
      <c r="AL76" s="2"/>
      <c r="AM76" s="1"/>
      <c r="AN76" s="1"/>
    </row>
    <row r="77">
      <c r="A77" s="2"/>
      <c r="B77" s="1"/>
      <c r="C77" s="1"/>
      <c r="D77" s="2"/>
      <c r="E77" s="1"/>
      <c r="F77" s="2"/>
      <c r="G77" s="2"/>
      <c r="H77" s="1"/>
      <c r="I77" s="1"/>
      <c r="J77" s="2"/>
      <c r="K77" s="1"/>
      <c r="L77" s="1"/>
      <c r="M77" s="2"/>
      <c r="N77" s="2"/>
      <c r="O77" s="2"/>
      <c r="P77" s="2"/>
      <c r="Q77" s="2"/>
      <c r="R77" s="2"/>
      <c r="S77" s="8" t="str" xml:space="preserve">
        <v>DDRC_LC_T_REFI_WIDTH </v>
      </c>
      <c r="T77" s="9">
        <v>10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 t="str">
        <v>DDRC_RASC_MBIST</v>
      </c>
      <c r="AK77" s="2" t="str">
        <v>4'b1001</v>
      </c>
      <c r="AL77" s="2"/>
      <c r="AM77" s="1"/>
      <c r="AN77" s="1"/>
    </row>
    <row r="78">
      <c r="A78" s="2"/>
      <c r="B78" s="1"/>
      <c r="C78" s="1"/>
      <c r="D78" s="2"/>
      <c r="E78" s="1"/>
      <c r="F78" s="2"/>
      <c r="G78" s="2"/>
      <c r="H78" s="1"/>
      <c r="I78" s="1"/>
      <c r="J78" s="2"/>
      <c r="K78" s="1"/>
      <c r="L78" s="1"/>
      <c r="M78" s="2"/>
      <c r="N78" s="2"/>
      <c r="O78" s="2"/>
      <c r="P78" s="2"/>
      <c r="Q78" s="2"/>
      <c r="R78" s="2"/>
      <c r="S78" s="8" t="str" xml:space="preserve">
        <v>DDRC_LC_T_ZQC_WIDTH </v>
      </c>
      <c r="T78" s="9">
        <v>12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1"/>
      <c r="AN78" s="1"/>
    </row>
    <row r="79">
      <c r="A79" s="2"/>
      <c r="B79" s="1"/>
      <c r="C79" s="1"/>
      <c r="D79" s="2"/>
      <c r="E79" s="1"/>
      <c r="F79" s="2"/>
      <c r="G79" s="2"/>
      <c r="H79" s="1"/>
      <c r="I79" s="1"/>
      <c r="J79" s="2"/>
      <c r="K79" s="1"/>
      <c r="L79" s="1"/>
      <c r="M79" s="2"/>
      <c r="N79" s="2"/>
      <c r="O79" s="2"/>
      <c r="P79" s="2"/>
      <c r="Q79" s="2"/>
      <c r="R79" s="2"/>
      <c r="S79" s="8" t="str" xml:space="preserve">
        <v>DDRC_LC_T_LIM_WIDTH </v>
      </c>
      <c r="T79" s="9">
        <v>7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1"/>
      <c r="AN79" s="1"/>
    </row>
    <row r="80">
      <c r="A80" s="2"/>
      <c r="B80" s="1"/>
      <c r="C80" s="1"/>
      <c r="D80" s="2"/>
      <c r="E80" s="1"/>
      <c r="F80" s="2"/>
      <c r="G80" s="2"/>
      <c r="H80" s="1"/>
      <c r="I80" s="1"/>
      <c r="J80" s="2"/>
      <c r="K80" s="1"/>
      <c r="L80" s="1"/>
      <c r="M80" s="2"/>
      <c r="N80" s="2"/>
      <c r="O80" s="2"/>
      <c r="P80" s="2"/>
      <c r="Q80" s="2"/>
      <c r="R80" s="2"/>
      <c r="S80" s="8" t="str" xml:space="preserve">
        <v>DDRC_LC_T_PDEN_WIDTH </v>
      </c>
      <c r="T80" s="9">
        <v>3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1"/>
      <c r="AN80" s="1"/>
    </row>
    <row r="81">
      <c r="A81" s="2"/>
      <c r="B81" s="1"/>
      <c r="C81" s="1"/>
      <c r="D81" s="2"/>
      <c r="E81" s="1"/>
      <c r="F81" s="2"/>
      <c r="G81" s="2"/>
      <c r="H81" s="1"/>
      <c r="I81" s="1"/>
      <c r="J81" s="2"/>
      <c r="K81" s="1"/>
      <c r="L81" s="1"/>
      <c r="M81" s="2"/>
      <c r="N81" s="2"/>
      <c r="O81" s="2"/>
      <c r="P81" s="2"/>
      <c r="Q81" s="2"/>
      <c r="R81" s="2"/>
      <c r="S81" s="8" t="str">
        <v>DDRC_LC_T_RDPDEN_WIDTH</v>
      </c>
      <c r="T81" s="9">
        <v>7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1"/>
      <c r="AN81" s="1"/>
    </row>
    <row r="82">
      <c r="A82" s="2"/>
      <c r="B82" s="1"/>
      <c r="C82" s="1"/>
      <c r="D82" s="2"/>
      <c r="E82" s="1"/>
      <c r="F82" s="2"/>
      <c r="G82" s="2"/>
      <c r="H82" s="1"/>
      <c r="I82" s="1"/>
      <c r="J82" s="2"/>
      <c r="K82" s="1"/>
      <c r="L82" s="1"/>
      <c r="M82" s="2"/>
      <c r="N82" s="2"/>
      <c r="O82" s="2"/>
      <c r="P82" s="2"/>
      <c r="Q82" s="2"/>
      <c r="R82" s="2"/>
      <c r="S82" s="8" t="str">
        <v>DDRC_LC_T_WRPDEN_WIDTH</v>
      </c>
      <c r="T82" s="9">
        <v>8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1"/>
      <c r="AN82" s="1"/>
    </row>
    <row r="83">
      <c r="A83" s="2"/>
      <c r="B83" s="1"/>
      <c r="C83" s="1"/>
      <c r="D83" s="2"/>
      <c r="E83" s="1"/>
      <c r="F83" s="2"/>
      <c r="G83" s="2"/>
      <c r="H83" s="1"/>
      <c r="I83" s="1"/>
      <c r="J83" s="2"/>
      <c r="K83" s="1"/>
      <c r="L83" s="1"/>
      <c r="M83" s="2"/>
      <c r="N83" s="2"/>
      <c r="O83" s="2"/>
      <c r="P83" s="2"/>
      <c r="Q83" s="2"/>
      <c r="R83" s="2"/>
      <c r="S83" s="8" t="str">
        <v>DDRC_LC_T_PD_WIDTH</v>
      </c>
      <c r="T83" s="9">
        <v>6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1"/>
      <c r="AN83" s="1"/>
    </row>
    <row r="84">
      <c r="A84" s="2"/>
      <c r="B84" s="1"/>
      <c r="C84" s="1"/>
      <c r="D84" s="2"/>
      <c r="E84" s="1"/>
      <c r="F84" s="2"/>
      <c r="G84" s="2"/>
      <c r="H84" s="1"/>
      <c r="I84" s="1"/>
      <c r="J84" s="2"/>
      <c r="K84" s="1"/>
      <c r="L84" s="1"/>
      <c r="M84" s="2"/>
      <c r="N84" s="2"/>
      <c r="O84" s="2"/>
      <c r="P84" s="2"/>
      <c r="Q84" s="2"/>
      <c r="R84" s="2"/>
      <c r="S84" s="8" t="str" xml:space="preserve">
        <v>DDRC_LC_T_OSC_BLOCK_WIDTH </v>
      </c>
      <c r="T84" s="9">
        <v>13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1"/>
      <c r="AN84" s="1"/>
    </row>
    <row r="85">
      <c r="A85" s="2"/>
      <c r="B85" s="1"/>
      <c r="C85" s="1"/>
      <c r="D85" s="2"/>
      <c r="E85" s="1"/>
      <c r="F85" s="2"/>
      <c r="G85" s="2"/>
      <c r="H85" s="1"/>
      <c r="I85" s="1"/>
      <c r="J85" s="2"/>
      <c r="K85" s="1"/>
      <c r="L85" s="1"/>
      <c r="M85" s="2"/>
      <c r="N85" s="2"/>
      <c r="O85" s="2"/>
      <c r="P85" s="2"/>
      <c r="Q85" s="2"/>
      <c r="R85" s="2"/>
      <c r="S85" s="8" t="str" xml:space="preserve">
        <v>DDRC_LC_T_UPD_BLOCK_WIDTH </v>
      </c>
      <c r="T85" s="9">
        <v>11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1"/>
      <c r="AN85" s="1"/>
    </row>
    <row r="86">
      <c r="A86" s="2"/>
      <c r="B86" s="1"/>
      <c r="C86" s="1"/>
      <c r="D86" s="2"/>
      <c r="E86" s="1"/>
      <c r="F86" s="2"/>
      <c r="G86" s="2"/>
      <c r="H86" s="1"/>
      <c r="I86" s="1"/>
      <c r="J86" s="2"/>
      <c r="K86" s="1"/>
      <c r="L86" s="1"/>
      <c r="M86" s="2"/>
      <c r="N86" s="2"/>
      <c r="O86" s="2"/>
      <c r="P86" s="2"/>
      <c r="Q86" s="2"/>
      <c r="R86" s="2"/>
      <c r="S86" s="8" t="str" xml:space="preserve">
        <v>DDRC_LC_T_SWCMD_WIDTH  </v>
      </c>
      <c r="T86" s="9">
        <v>11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1"/>
      <c r="AN86" s="1"/>
    </row>
    <row r="87">
      <c r="A87" s="2"/>
      <c r="B87" s="1"/>
      <c r="C87" s="1"/>
      <c r="D87" s="2"/>
      <c r="E87" s="1"/>
      <c r="F87" s="2"/>
      <c r="G87" s="2"/>
      <c r="H87" s="1"/>
      <c r="I87" s="1"/>
      <c r="J87" s="2"/>
      <c r="K87" s="1"/>
      <c r="L87" s="1"/>
      <c r="M87" s="2"/>
      <c r="N87" s="2"/>
      <c r="O87" s="2"/>
      <c r="P87" s="2"/>
      <c r="Q87" s="2"/>
      <c r="R87" s="2"/>
      <c r="S87" s="8" t="str" xml:space="preserve">
        <v>DDRC_LC_T_PREALL_WIDTH </v>
      </c>
      <c r="T87" s="9">
        <v>11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1"/>
      <c r="AN87" s="1"/>
    </row>
    <row r="88">
      <c r="A88" s="2"/>
      <c r="B88" s="1"/>
      <c r="C88" s="1"/>
      <c r="D88" s="2"/>
      <c r="E88" s="1"/>
      <c r="F88" s="2"/>
      <c r="G88" s="2"/>
      <c r="H88" s="1"/>
      <c r="I88" s="1"/>
      <c r="J88" s="2"/>
      <c r="K88" s="1"/>
      <c r="L88" s="1"/>
      <c r="M88" s="2"/>
      <c r="N88" s="2"/>
      <c r="O88" s="2"/>
      <c r="P88" s="2"/>
      <c r="Q88" s="2"/>
      <c r="R88" s="2"/>
      <c r="S88" s="8" t="str" xml:space="preserve">
        <v>DDRC_LC_T_WR2WR_GAP_WIDTH </v>
      </c>
      <c r="T88" s="9">
        <v>4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1"/>
      <c r="AN88" s="1"/>
    </row>
    <row r="89">
      <c r="A89" s="2"/>
      <c r="B89" s="1"/>
      <c r="C89" s="1"/>
      <c r="D89" s="2"/>
      <c r="E89" s="1"/>
      <c r="F89" s="2"/>
      <c r="G89" s="2"/>
      <c r="H89" s="1"/>
      <c r="I89" s="1"/>
      <c r="J89" s="2"/>
      <c r="K89" s="1"/>
      <c r="L89" s="1"/>
      <c r="M89" s="2"/>
      <c r="N89" s="2"/>
      <c r="O89" s="2"/>
      <c r="P89" s="2"/>
      <c r="Q89" s="2"/>
      <c r="R89" s="2"/>
      <c r="S89" s="8" t="str">
        <v>DDRC_LC_T_RD2WR_GAP_WIDTH</v>
      </c>
      <c r="T89" s="9">
        <v>4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1"/>
      <c r="AN89" s="1"/>
    </row>
    <row r="90">
      <c r="A90" s="2"/>
      <c r="B90" s="1"/>
      <c r="C90" s="1"/>
      <c r="D90" s="2"/>
      <c r="E90" s="1"/>
      <c r="F90" s="2"/>
      <c r="G90" s="2"/>
      <c r="H90" s="1"/>
      <c r="I90" s="1"/>
      <c r="J90" s="2"/>
      <c r="K90" s="1"/>
      <c r="L90" s="1"/>
      <c r="M90" s="2"/>
      <c r="N90" s="2"/>
      <c r="O90" s="2"/>
      <c r="P90" s="2"/>
      <c r="Q90" s="2"/>
      <c r="R90" s="2"/>
      <c r="S90" s="8" t="str" xml:space="preserve">
        <v>DDRC_LC_T_WR2RD_GAP_WIDTH </v>
      </c>
      <c r="T90" s="9">
        <v>4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1"/>
      <c r="AN90" s="1"/>
    </row>
    <row r="91">
      <c r="A91" s="2"/>
      <c r="B91" s="1"/>
      <c r="C91" s="1"/>
      <c r="D91" s="2"/>
      <c r="E91" s="1"/>
      <c r="F91" s="2"/>
      <c r="G91" s="2"/>
      <c r="H91" s="1"/>
      <c r="I91" s="1"/>
      <c r="J91" s="2"/>
      <c r="K91" s="1"/>
      <c r="L91" s="1"/>
      <c r="M91" s="2"/>
      <c r="N91" s="2"/>
      <c r="O91" s="2"/>
      <c r="P91" s="2"/>
      <c r="Q91" s="2"/>
      <c r="R91" s="2"/>
      <c r="S91" s="8" t="str" xml:space="preserve">
        <v>DDRC_LC_T_RD2RD_GAP_WIDTH </v>
      </c>
      <c r="T91" s="9">
        <v>4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1"/>
      <c r="AN91" s="1"/>
    </row>
    <row r="92">
      <c r="A92" s="2"/>
      <c r="B92" s="1"/>
      <c r="C92" s="1"/>
      <c r="D92" s="2"/>
      <c r="E92" s="1"/>
      <c r="F92" s="2"/>
      <c r="G92" s="2"/>
      <c r="H92" s="1"/>
      <c r="I92" s="1"/>
      <c r="J92" s="2"/>
      <c r="K92" s="1"/>
      <c r="L92" s="1"/>
      <c r="M92" s="2"/>
      <c r="N92" s="2"/>
      <c r="O92" s="2"/>
      <c r="P92" s="2"/>
      <c r="Q92" s="2"/>
      <c r="R92" s="2"/>
      <c r="S92" s="8" t="str" xml:space="preserve">
        <v>  `ifdef RDIMM_3DS</v>
      </c>
      <c r="T92" s="9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1"/>
      <c r="AN92" s="1"/>
    </row>
    <row r="93">
      <c r="A93" s="2"/>
      <c r="B93" s="1"/>
      <c r="C93" s="1"/>
      <c r="D93" s="2"/>
      <c r="E93" s="1"/>
      <c r="F93" s="2"/>
      <c r="G93" s="2"/>
      <c r="H93" s="1"/>
      <c r="I93" s="1"/>
      <c r="J93" s="2"/>
      <c r="K93" s="1"/>
      <c r="L93" s="1"/>
      <c r="M93" s="2"/>
      <c r="N93" s="2"/>
      <c r="O93" s="2"/>
      <c r="P93" s="2"/>
      <c r="Q93" s="2"/>
      <c r="R93" s="2"/>
      <c r="S93" s="8" t="str" xml:space="preserve">
        <v>    DDRC_LC_DIMMREF_CNT  </v>
      </c>
      <c r="T93" s="9">
        <v>3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1"/>
      <c r="AN93" s="1"/>
    </row>
    <row r="94">
      <c r="A94" s="2"/>
      <c r="B94" s="1"/>
      <c r="C94" s="1"/>
      <c r="D94" s="2"/>
      <c r="E94" s="1"/>
      <c r="F94" s="2"/>
      <c r="G94" s="2"/>
      <c r="H94" s="1"/>
      <c r="I94" s="1"/>
      <c r="J94" s="2"/>
      <c r="K94" s="1"/>
      <c r="L94" s="1"/>
      <c r="M94" s="2"/>
      <c r="N94" s="2"/>
      <c r="O94" s="2"/>
      <c r="P94" s="2"/>
      <c r="Q94" s="2"/>
      <c r="R94" s="2"/>
      <c r="S94" s="8" t="str" xml:space="preserve">
        <v>  `endif</v>
      </c>
      <c r="T94" s="9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1"/>
      <c r="AN94" s="1"/>
    </row>
    <row r="95">
      <c r="A95" s="2"/>
      <c r="B95" s="1"/>
      <c r="C95" s="1"/>
      <c r="D95" s="2"/>
      <c r="E95" s="1"/>
      <c r="F95" s="2"/>
      <c r="G95" s="2"/>
      <c r="H95" s="1"/>
      <c r="I95" s="1"/>
      <c r="J95" s="2"/>
      <c r="K95" s="1"/>
      <c r="L95" s="1"/>
      <c r="M95" s="2"/>
      <c r="N95" s="2"/>
      <c r="O95" s="2"/>
      <c r="P95" s="2"/>
      <c r="Q95" s="2"/>
      <c r="R95" s="2"/>
      <c r="S95" s="8" t="str" xml:space="preserve">
        <v>DDRC_LC_T_HIT_SR_WIDTH </v>
      </c>
      <c r="T95" s="9">
        <v>11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1"/>
      <c r="AN95" s="1"/>
    </row>
    <row r="96">
      <c r="A96" s="2"/>
      <c r="B96" s="1"/>
      <c r="C96" s="1"/>
      <c r="D96" s="2"/>
      <c r="E96" s="1"/>
      <c r="F96" s="2"/>
      <c r="G96" s="2"/>
      <c r="H96" s="1"/>
      <c r="I96" s="1"/>
      <c r="J96" s="2"/>
      <c r="K96" s="1"/>
      <c r="L96" s="1"/>
      <c r="M96" s="2"/>
      <c r="N96" s="2"/>
      <c r="O96" s="2"/>
      <c r="P96" s="2"/>
      <c r="Q96" s="2"/>
      <c r="R96" s="2"/>
      <c r="S96" s="8" t="str" xml:space="preserve">
        <v>DDRC_LC_T_CCD_WTR_DPS_WIDTH </v>
      </c>
      <c r="T96" s="9">
        <v>7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1"/>
      <c r="AN96" s="1"/>
    </row>
    <row r="97">
      <c r="A97" s="2"/>
      <c r="B97" s="1"/>
      <c r="C97" s="1"/>
      <c r="D97" s="2"/>
      <c r="E97" s="1"/>
      <c r="F97" s="2"/>
      <c r="G97" s="2"/>
      <c r="H97" s="1"/>
      <c r="I97" s="1"/>
      <c r="J97" s="2"/>
      <c r="K97" s="1"/>
      <c r="L97" s="1"/>
      <c r="M97" s="2"/>
      <c r="N97" s="2"/>
      <c r="O97" s="2"/>
      <c r="P97" s="2"/>
      <c r="Q97" s="2"/>
      <c r="R97" s="2"/>
      <c r="S97" s="8" t="str" xml:space="preserve">
        <v>DDRC_LC_T_WR2RD_DPS_GAP_WIDTH </v>
      </c>
      <c r="T97" s="9">
        <v>4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1"/>
      <c r="AN97" s="1"/>
    </row>
    <row r="98">
      <c r="A98" s="2"/>
      <c r="B98" s="1"/>
      <c r="C98" s="1"/>
      <c r="D98" s="2"/>
      <c r="E98" s="1"/>
      <c r="F98" s="2"/>
      <c r="G98" s="2"/>
      <c r="H98" s="1"/>
      <c r="I98" s="1"/>
      <c r="J98" s="2"/>
      <c r="K98" s="1"/>
      <c r="L98" s="1"/>
      <c r="M98" s="2"/>
      <c r="N98" s="2"/>
      <c r="O98" s="2"/>
      <c r="P98" s="2"/>
      <c r="Q98" s="2"/>
      <c r="R98" s="2"/>
      <c r="S98" s="8" t="str" xml:space="preserve">
        <v>DDRC_LC_T_CCD_RTW_DPS_WIDTH </v>
      </c>
      <c r="T98" s="9">
        <v>6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1"/>
      <c r="AN98" s="1"/>
    </row>
    <row r="99">
      <c r="A99" s="2"/>
      <c r="B99" s="1"/>
      <c r="C99" s="1"/>
      <c r="D99" s="2"/>
      <c r="E99" s="1"/>
      <c r="F99" s="2"/>
      <c r="G99" s="2"/>
      <c r="H99" s="1"/>
      <c r="I99" s="1"/>
      <c r="J99" s="2"/>
      <c r="K99" s="1"/>
      <c r="L99" s="1"/>
      <c r="M99" s="2"/>
      <c r="N99" s="2"/>
      <c r="O99" s="2"/>
      <c r="P99" s="2"/>
      <c r="Q99" s="2"/>
      <c r="R99" s="2"/>
      <c r="S99" s="8" t="str">
        <v>DDRC_LC_T_RD2WR_DPS_GAP_WIDTH</v>
      </c>
      <c r="T99" s="9">
        <v>4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1"/>
      <c r="AN99" s="1"/>
    </row>
    <row r="100">
      <c r="A100" s="2"/>
      <c r="B100" s="1"/>
      <c r="C100" s="1"/>
      <c r="D100" s="2"/>
      <c r="E100" s="1"/>
      <c r="F100" s="2"/>
      <c r="G100" s="2"/>
      <c r="H100" s="1"/>
      <c r="I100" s="1"/>
      <c r="J100" s="2"/>
      <c r="K100" s="1"/>
      <c r="L100" s="1"/>
      <c r="M100" s="2"/>
      <c r="N100" s="2"/>
      <c r="O100" s="2"/>
      <c r="P100" s="2"/>
      <c r="Q100" s="2"/>
      <c r="R100" s="2"/>
      <c r="S100" s="8" t="str" xml:space="preserve">
        <v>DDRC_LC_T_DCS_GAP_WIDTH  </v>
      </c>
      <c r="T100" s="9">
        <v>4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1"/>
      <c r="AN100" s="1"/>
    </row>
    <row r="101">
      <c r="A101" s="2"/>
      <c r="B101" s="1"/>
      <c r="C101" s="1"/>
      <c r="D101" s="2"/>
      <c r="E101" s="1"/>
      <c r="F101" s="2"/>
      <c r="G101" s="2"/>
      <c r="H101" s="1"/>
      <c r="I101" s="1"/>
      <c r="J101" s="2"/>
      <c r="K101" s="1"/>
      <c r="L101" s="1"/>
      <c r="M101" s="2"/>
      <c r="N101" s="2"/>
      <c r="O101" s="2"/>
      <c r="P101" s="2"/>
      <c r="Q101" s="2"/>
      <c r="R101" s="2"/>
      <c r="S101" s="8" t="str" xml:space="preserve">
        <v>DDRC_LC_T_REFABRD_DLR_WIDTH </v>
      </c>
      <c r="T101" s="9">
        <v>7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1"/>
      <c r="AN101" s="1"/>
    </row>
    <row r="102">
      <c r="A102" s="2"/>
      <c r="B102" s="1"/>
      <c r="C102" s="1"/>
      <c r="D102" s="2"/>
      <c r="E102" s="1"/>
      <c r="F102" s="2"/>
      <c r="G102" s="2"/>
      <c r="H102" s="1"/>
      <c r="I102" s="1"/>
      <c r="J102" s="2"/>
      <c r="K102" s="1"/>
      <c r="L102" s="1"/>
      <c r="M102" s="2"/>
      <c r="N102" s="2"/>
      <c r="O102" s="2"/>
      <c r="P102" s="2"/>
      <c r="Q102" s="2"/>
      <c r="R102" s="2"/>
      <c r="S102" s="8" t="str" xml:space="preserve">
        <v>DDRC_LC_T_OSCCAL_WIDTH  </v>
      </c>
      <c r="T102" s="9">
        <v>8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1"/>
      <c r="AN102" s="1"/>
    </row>
    <row r="103">
      <c r="A103" s="2"/>
      <c r="B103" s="1"/>
      <c r="C103" s="1"/>
      <c r="D103" s="2"/>
      <c r="E103" s="1"/>
      <c r="F103" s="2"/>
      <c r="G103" s="2"/>
      <c r="H103" s="1"/>
      <c r="I103" s="1"/>
      <c r="J103" s="2"/>
      <c r="K103" s="1"/>
      <c r="L103" s="1"/>
      <c r="M103" s="2"/>
      <c r="N103" s="2"/>
      <c r="O103" s="2"/>
      <c r="P103" s="2"/>
      <c r="Q103" s="2"/>
      <c r="R103" s="2"/>
      <c r="S103" s="8" t="str" xml:space="preserve">
        <v>DDRC_LC_T_HITSR_WIDTH  </v>
      </c>
      <c r="T103" s="9">
        <v>9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1"/>
      <c r="AN103" s="1"/>
    </row>
    <row r="104">
      <c r="A104" s="2"/>
      <c r="B104" s="1"/>
      <c r="C104" s="1"/>
      <c r="D104" s="2"/>
      <c r="E104" s="1"/>
      <c r="F104" s="2"/>
      <c r="G104" s="2"/>
      <c r="H104" s="1"/>
      <c r="I104" s="1"/>
      <c r="J104" s="2"/>
      <c r="K104" s="1"/>
      <c r="L104" s="1"/>
      <c r="M104" s="2"/>
      <c r="N104" s="2"/>
      <c r="O104" s="2"/>
      <c r="P104" s="2"/>
      <c r="Q104" s="2"/>
      <c r="R104" s="2"/>
      <c r="S104" s="8" t="str" xml:space="preserve">
        <v>DDRC_LC_T_CKSRX_WIDTH </v>
      </c>
      <c r="T104" s="9">
        <v>5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1"/>
      <c r="AN104" s="1"/>
    </row>
    <row r="105">
      <c r="A105" s="2"/>
      <c r="B105" s="1"/>
      <c r="C105" s="1"/>
      <c r="D105" s="2"/>
      <c r="E105" s="1"/>
      <c r="F105" s="2"/>
      <c r="G105" s="2"/>
      <c r="H105" s="1"/>
      <c r="I105" s="1"/>
      <c r="J105" s="2"/>
      <c r="K105" s="1"/>
      <c r="L105" s="1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1"/>
      <c r="AN105" s="1"/>
    </row>
    <row r="106">
      <c r="A106" s="2"/>
      <c r="B106" s="1"/>
      <c r="C106" s="1"/>
      <c r="D106" s="2"/>
      <c r="E106" s="1"/>
      <c r="F106" s="2"/>
      <c r="G106" s="2"/>
      <c r="H106" s="1"/>
      <c r="I106" s="1"/>
      <c r="J106" s="2"/>
      <c r="K106" s="1"/>
      <c r="L106" s="1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1"/>
      <c r="AN106" s="1"/>
    </row>
    <row r="107">
      <c r="A107" s="2"/>
      <c r="B107" s="1"/>
      <c r="C107" s="1"/>
      <c r="D107" s="2"/>
      <c r="E107" s="1"/>
      <c r="F107" s="2"/>
      <c r="G107" s="2"/>
      <c r="H107" s="1"/>
      <c r="I107" s="1"/>
      <c r="J107" s="2"/>
      <c r="K107" s="1"/>
      <c r="L107" s="1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1"/>
      <c r="AN107" s="1"/>
    </row>
    <row r="108">
      <c r="A108" s="2"/>
      <c r="B108" s="1"/>
      <c r="C108" s="1"/>
      <c r="D108" s="2"/>
      <c r="E108" s="1"/>
      <c r="F108" s="2"/>
      <c r="G108" s="2"/>
      <c r="H108" s="1"/>
      <c r="I108" s="1"/>
      <c r="J108" s="2"/>
      <c r="K108" s="1"/>
      <c r="L108" s="1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1"/>
      <c r="AN108" s="1"/>
    </row>
    <row r="109">
      <c r="A109" s="2"/>
      <c r="B109" s="1"/>
      <c r="C109" s="1"/>
      <c r="D109" s="2"/>
      <c r="E109" s="1"/>
      <c r="F109" s="2"/>
      <c r="G109" s="2"/>
      <c r="H109" s="1"/>
      <c r="I109" s="1"/>
      <c r="J109" s="2"/>
      <c r="K109" s="1"/>
      <c r="L109" s="1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1"/>
      <c r="AN109" s="1"/>
    </row>
    <row r="110">
      <c r="A110" s="2"/>
      <c r="B110" s="1"/>
      <c r="C110" s="1"/>
      <c r="D110" s="2"/>
      <c r="E110" s="1"/>
      <c r="F110" s="2"/>
      <c r="G110" s="2"/>
      <c r="H110" s="1"/>
      <c r="I110" s="1"/>
      <c r="J110" s="2"/>
      <c r="K110" s="1"/>
      <c r="L110" s="1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1"/>
      <c r="AN110" s="1"/>
    </row>
    <row r="111">
      <c r="A111" s="2"/>
      <c r="B111" s="1"/>
      <c r="C111" s="1"/>
      <c r="D111" s="2"/>
      <c r="E111" s="1"/>
      <c r="F111" s="2"/>
      <c r="G111" s="2"/>
      <c r="H111" s="1"/>
      <c r="I111" s="1"/>
      <c r="J111" s="2"/>
      <c r="K111" s="1"/>
      <c r="L111" s="1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1"/>
      <c r="AN111" s="1"/>
    </row>
    <row r="112">
      <c r="A112" s="2"/>
      <c r="B112" s="1"/>
      <c r="C112" s="1"/>
      <c r="D112" s="2"/>
      <c r="E112" s="1"/>
      <c r="F112" s="2"/>
      <c r="G112" s="2"/>
      <c r="H112" s="1"/>
      <c r="I112" s="1"/>
      <c r="J112" s="2"/>
      <c r="K112" s="1"/>
      <c r="L112" s="1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1"/>
      <c r="AN112" s="1"/>
    </row>
    <row r="113">
      <c r="A113" s="2"/>
      <c r="B113" s="1"/>
      <c r="C113" s="1"/>
      <c r="D113" s="2"/>
      <c r="E113" s="1"/>
      <c r="F113" s="2"/>
      <c r="G113" s="2"/>
      <c r="H113" s="1"/>
      <c r="I113" s="1"/>
      <c r="J113" s="2"/>
      <c r="K113" s="1"/>
      <c r="L113" s="1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1"/>
      <c r="AN113" s="1"/>
    </row>
    <row r="114">
      <c r="A114" s="2"/>
      <c r="B114" s="1"/>
      <c r="C114" s="1"/>
      <c r="D114" s="2"/>
      <c r="E114" s="1"/>
      <c r="F114" s="2"/>
      <c r="G114" s="2"/>
      <c r="H114" s="1"/>
      <c r="I114" s="1"/>
      <c r="J114" s="2"/>
      <c r="K114" s="1"/>
      <c r="L114" s="1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1"/>
      <c r="AN114" s="1"/>
    </row>
    <row r="115">
      <c r="A115" s="2"/>
      <c r="B115" s="1"/>
      <c r="C115" s="1"/>
      <c r="D115" s="2"/>
      <c r="E115" s="1"/>
      <c r="F115" s="2"/>
      <c r="G115" s="2"/>
      <c r="H115" s="1"/>
      <c r="I115" s="1"/>
      <c r="J115" s="2"/>
      <c r="K115" s="1"/>
      <c r="L115" s="1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1"/>
      <c r="AN115" s="1"/>
    </row>
    <row r="116">
      <c r="A116" s="2"/>
      <c r="B116" s="1"/>
      <c r="C116" s="1"/>
      <c r="D116" s="2"/>
      <c r="E116" s="1"/>
      <c r="F116" s="2"/>
      <c r="G116" s="2"/>
      <c r="H116" s="1"/>
      <c r="I116" s="1"/>
      <c r="J116" s="2"/>
      <c r="K116" s="1"/>
      <c r="L116" s="1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1"/>
      <c r="AN116" s="1"/>
    </row>
    <row r="117">
      <c r="A117" s="2"/>
      <c r="B117" s="1"/>
      <c r="C117" s="1"/>
      <c r="D117" s="2"/>
      <c r="E117" s="1"/>
      <c r="F117" s="2"/>
      <c r="G117" s="2"/>
      <c r="H117" s="1"/>
      <c r="I117" s="1"/>
      <c r="J117" s="2"/>
      <c r="K117" s="1"/>
      <c r="L117" s="1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1"/>
      <c r="AN117" s="1"/>
    </row>
    <row r="118">
      <c r="A118" s="2"/>
      <c r="B118" s="1"/>
      <c r="C118" s="1"/>
      <c r="D118" s="2"/>
      <c r="E118" s="1"/>
      <c r="F118" s="2"/>
      <c r="G118" s="2"/>
      <c r="H118" s="1"/>
      <c r="I118" s="1"/>
      <c r="J118" s="2"/>
      <c r="K118" s="1"/>
      <c r="L118" s="1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1"/>
      <c r="AN118" s="1"/>
    </row>
    <row r="119">
      <c r="A119" s="2"/>
      <c r="B119" s="1"/>
      <c r="C119" s="1"/>
      <c r="D119" s="2"/>
      <c r="E119" s="1"/>
      <c r="F119" s="2"/>
      <c r="G119" s="2"/>
      <c r="H119" s="1"/>
      <c r="I119" s="1"/>
      <c r="J119" s="2"/>
      <c r="K119" s="1"/>
      <c r="L119" s="1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1"/>
      <c r="AN119" s="1"/>
    </row>
    <row r="120">
      <c r="A120" s="2"/>
      <c r="B120" s="1"/>
      <c r="C120" s="1"/>
      <c r="D120" s="2"/>
      <c r="E120" s="1"/>
      <c r="F120" s="2"/>
      <c r="G120" s="2"/>
      <c r="H120" s="1"/>
      <c r="I120" s="1"/>
      <c r="J120" s="2"/>
      <c r="K120" s="1"/>
      <c r="L120" s="1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1"/>
      <c r="AN120" s="1"/>
    </row>
    <row r="121">
      <c r="A121" s="2"/>
      <c r="B121" s="1"/>
      <c r="C121" s="1"/>
      <c r="D121" s="2"/>
      <c r="E121" s="1"/>
      <c r="F121" s="2"/>
      <c r="G121" s="2"/>
      <c r="H121" s="1"/>
      <c r="I121" s="1"/>
      <c r="J121" s="2"/>
      <c r="K121" s="1"/>
      <c r="L121" s="1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1"/>
      <c r="AN121" s="1"/>
    </row>
    <row r="122">
      <c r="A122" s="2"/>
      <c r="B122" s="1"/>
      <c r="C122" s="1"/>
      <c r="D122" s="2"/>
      <c r="E122" s="1"/>
      <c r="F122" s="2"/>
      <c r="G122" s="2"/>
      <c r="H122" s="1"/>
      <c r="I122" s="1"/>
      <c r="J122" s="2"/>
      <c r="K122" s="1"/>
      <c r="L122" s="1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1"/>
      <c r="AN122" s="1"/>
    </row>
    <row r="123">
      <c r="A123" s="2"/>
      <c r="B123" s="1"/>
      <c r="C123" s="1"/>
      <c r="D123" s="2"/>
      <c r="E123" s="1"/>
      <c r="F123" s="2"/>
      <c r="G123" s="2"/>
      <c r="H123" s="1"/>
      <c r="I123" s="1"/>
      <c r="J123" s="2"/>
      <c r="K123" s="1"/>
      <c r="L123" s="1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1"/>
      <c r="AN123" s="1"/>
    </row>
    <row r="124">
      <c r="A124" s="2"/>
      <c r="B124" s="1"/>
      <c r="C124" s="1"/>
      <c r="D124" s="2"/>
      <c r="E124" s="1"/>
      <c r="F124" s="2"/>
      <c r="G124" s="2"/>
      <c r="H124" s="1"/>
      <c r="I124" s="1"/>
      <c r="J124" s="2"/>
      <c r="K124" s="1"/>
      <c r="L124" s="1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1"/>
      <c r="AN124" s="1"/>
    </row>
    <row r="125">
      <c r="A125" s="2"/>
      <c r="B125" s="1"/>
      <c r="C125" s="1"/>
      <c r="D125" s="2"/>
      <c r="E125" s="1"/>
      <c r="F125" s="2"/>
      <c r="G125" s="2"/>
      <c r="H125" s="1"/>
      <c r="I125" s="1"/>
      <c r="J125" s="2"/>
      <c r="K125" s="1"/>
      <c r="L125" s="1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1"/>
      <c r="AN125" s="1"/>
    </row>
    <row r="126">
      <c r="A126" s="2"/>
      <c r="B126" s="1"/>
      <c r="C126" s="1"/>
      <c r="D126" s="2"/>
      <c r="E126" s="1"/>
      <c r="F126" s="2"/>
      <c r="G126" s="2"/>
      <c r="H126" s="1"/>
      <c r="I126" s="1"/>
      <c r="J126" s="2"/>
      <c r="K126" s="1"/>
      <c r="L126" s="1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1"/>
      <c r="AN126" s="1"/>
    </row>
    <row r="127">
      <c r="A127" s="2"/>
      <c r="B127" s="1"/>
      <c r="C127" s="1"/>
      <c r="D127" s="2"/>
      <c r="E127" s="1"/>
      <c r="F127" s="2"/>
      <c r="G127" s="2"/>
      <c r="H127" s="1"/>
      <c r="I127" s="1"/>
      <c r="J127" s="2"/>
      <c r="K127" s="1"/>
      <c r="L127" s="1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1"/>
      <c r="AN127" s="1"/>
    </row>
    <row r="128">
      <c r="A128" s="2"/>
      <c r="B128" s="1"/>
      <c r="C128" s="1"/>
      <c r="D128" s="2"/>
      <c r="E128" s="1"/>
      <c r="F128" s="2"/>
      <c r="G128" s="2"/>
      <c r="H128" s="1"/>
      <c r="I128" s="1"/>
      <c r="J128" s="2"/>
      <c r="K128" s="1"/>
      <c r="L128" s="1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1"/>
      <c r="AN128" s="1"/>
    </row>
    <row r="129">
      <c r="A129" s="2"/>
      <c r="B129" s="1"/>
      <c r="C129" s="1"/>
      <c r="D129" s="2"/>
      <c r="E129" s="1"/>
      <c r="F129" s="2"/>
      <c r="G129" s="2"/>
      <c r="H129" s="1"/>
      <c r="I129" s="1"/>
      <c r="J129" s="2"/>
      <c r="K129" s="1"/>
      <c r="L129" s="1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1"/>
      <c r="AN129" s="1"/>
    </row>
    <row r="130">
      <c r="A130" s="2"/>
      <c r="B130" s="1"/>
      <c r="C130" s="1"/>
      <c r="D130" s="2"/>
      <c r="E130" s="1"/>
      <c r="F130" s="2"/>
      <c r="G130" s="2"/>
      <c r="H130" s="1"/>
      <c r="I130" s="1"/>
      <c r="J130" s="2"/>
      <c r="K130" s="1"/>
      <c r="L130" s="1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1"/>
      <c r="AN130" s="1"/>
    </row>
    <row r="131">
      <c r="A131" s="2"/>
      <c r="B131" s="1"/>
      <c r="C131" s="1"/>
      <c r="D131" s="2"/>
      <c r="E131" s="1"/>
      <c r="F131" s="2"/>
      <c r="G131" s="2"/>
      <c r="H131" s="1"/>
      <c r="I131" s="1"/>
      <c r="J131" s="2"/>
      <c r="K131" s="1"/>
      <c r="L131" s="1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1"/>
      <c r="AN131" s="1"/>
    </row>
    <row r="132">
      <c r="A132" s="2"/>
      <c r="B132" s="1"/>
      <c r="C132" s="1"/>
      <c r="D132" s="2"/>
      <c r="E132" s="1"/>
      <c r="F132" s="2"/>
      <c r="G132" s="2"/>
      <c r="H132" s="1"/>
      <c r="I132" s="1"/>
      <c r="J132" s="2"/>
      <c r="K132" s="1"/>
      <c r="L132" s="1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1"/>
      <c r="AN132" s="1"/>
    </row>
    <row r="133">
      <c r="A133" s="2"/>
      <c r="B133" s="1"/>
      <c r="C133" s="1"/>
      <c r="D133" s="2"/>
      <c r="E133" s="1"/>
      <c r="F133" s="2"/>
      <c r="G133" s="2"/>
      <c r="H133" s="1"/>
      <c r="I133" s="1"/>
      <c r="J133" s="2"/>
      <c r="K133" s="1"/>
      <c r="L133" s="1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1"/>
      <c r="AN133" s="1"/>
    </row>
    <row r="134">
      <c r="A134" s="2"/>
      <c r="B134" s="1"/>
      <c r="C134" s="1"/>
      <c r="D134" s="2"/>
      <c r="E134" s="1"/>
      <c r="F134" s="2"/>
      <c r="G134" s="2"/>
      <c r="H134" s="1"/>
      <c r="I134" s="1"/>
      <c r="J134" s="2"/>
      <c r="K134" s="1"/>
      <c r="L134" s="1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1"/>
      <c r="AN134" s="1"/>
    </row>
    <row r="135">
      <c r="A135" s="2"/>
      <c r="B135" s="1"/>
      <c r="C135" s="1"/>
      <c r="D135" s="2"/>
      <c r="E135" s="1"/>
      <c r="F135" s="2"/>
      <c r="G135" s="2"/>
      <c r="H135" s="1"/>
      <c r="I135" s="1"/>
      <c r="J135" s="2"/>
      <c r="K135" s="1"/>
      <c r="L135" s="1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1"/>
      <c r="AN135" s="1"/>
    </row>
    <row r="136">
      <c r="A136" s="2"/>
      <c r="B136" s="1"/>
      <c r="C136" s="1"/>
      <c r="D136" s="2"/>
      <c r="E136" s="1"/>
      <c r="F136" s="2"/>
      <c r="G136" s="2"/>
      <c r="H136" s="1"/>
      <c r="I136" s="1"/>
      <c r="J136" s="2"/>
      <c r="K136" s="1"/>
      <c r="L136" s="1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1"/>
      <c r="AN136" s="1"/>
    </row>
    <row r="137">
      <c r="A137" s="2"/>
      <c r="B137" s="1"/>
      <c r="C137" s="1"/>
      <c r="D137" s="2"/>
      <c r="E137" s="1"/>
      <c r="F137" s="2"/>
      <c r="G137" s="2"/>
      <c r="H137" s="1"/>
      <c r="I137" s="1"/>
      <c r="J137" s="2"/>
      <c r="K137" s="1"/>
      <c r="L137" s="1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1"/>
      <c r="AN137" s="1"/>
    </row>
    <row r="138">
      <c r="A138" s="2"/>
      <c r="B138" s="1"/>
      <c r="C138" s="1"/>
      <c r="D138" s="2"/>
      <c r="E138" s="1"/>
      <c r="F138" s="2"/>
      <c r="G138" s="2"/>
      <c r="H138" s="1"/>
      <c r="I138" s="1"/>
      <c r="J138" s="2"/>
      <c r="K138" s="1"/>
      <c r="L138" s="1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1"/>
      <c r="AN138" s="1"/>
    </row>
    <row r="139">
      <c r="A139" s="2"/>
      <c r="B139" s="1"/>
      <c r="C139" s="1"/>
      <c r="D139" s="2"/>
      <c r="E139" s="1"/>
      <c r="F139" s="2"/>
      <c r="G139" s="2"/>
      <c r="H139" s="1"/>
      <c r="I139" s="1"/>
      <c r="J139" s="2"/>
      <c r="K139" s="1"/>
      <c r="L139" s="1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1"/>
      <c r="AN139" s="1"/>
    </row>
    <row r="140">
      <c r="A140" s="2"/>
      <c r="B140" s="1"/>
      <c r="C140" s="1"/>
      <c r="D140" s="2"/>
      <c r="E140" s="1"/>
      <c r="F140" s="2"/>
      <c r="G140" s="2"/>
      <c r="H140" s="1"/>
      <c r="I140" s="1"/>
      <c r="J140" s="2"/>
      <c r="K140" s="1"/>
      <c r="L140" s="1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1"/>
      <c r="AN140" s="1"/>
    </row>
    <row r="141">
      <c r="A141" s="2"/>
      <c r="B141" s="1"/>
      <c r="C141" s="1"/>
      <c r="D141" s="2"/>
      <c r="E141" s="1"/>
      <c r="F141" s="2"/>
      <c r="G141" s="2"/>
      <c r="H141" s="1"/>
      <c r="I141" s="1"/>
      <c r="J141" s="2"/>
      <c r="K141" s="1"/>
      <c r="L141" s="1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1"/>
      <c r="AN141" s="1"/>
    </row>
    <row r="142">
      <c r="A142" s="2"/>
      <c r="B142" s="1"/>
      <c r="C142" s="1"/>
      <c r="D142" s="2"/>
      <c r="E142" s="1"/>
      <c r="F142" s="2"/>
      <c r="G142" s="2"/>
      <c r="H142" s="1"/>
      <c r="I142" s="1"/>
      <c r="J142" s="2"/>
      <c r="K142" s="1"/>
      <c r="L142" s="1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1"/>
      <c r="AN142" s="1"/>
    </row>
    <row r="143">
      <c r="A143" s="2"/>
      <c r="B143" s="1"/>
      <c r="C143" s="1"/>
      <c r="D143" s="2"/>
      <c r="E143" s="1"/>
      <c r="F143" s="2"/>
      <c r="G143" s="2"/>
      <c r="H143" s="1"/>
      <c r="I143" s="1"/>
      <c r="J143" s="2"/>
      <c r="K143" s="1"/>
      <c r="L143" s="1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1"/>
      <c r="AN143" s="1"/>
    </row>
    <row r="144">
      <c r="A144" s="2"/>
      <c r="B144" s="1"/>
      <c r="C144" s="1"/>
      <c r="D144" s="2"/>
      <c r="E144" s="1"/>
      <c r="F144" s="2"/>
      <c r="G144" s="2"/>
      <c r="H144" s="1"/>
      <c r="I144" s="1"/>
      <c r="J144" s="2"/>
      <c r="K144" s="1"/>
      <c r="L144" s="1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1"/>
      <c r="AN144" s="1"/>
    </row>
    <row r="145">
      <c r="A145" s="2"/>
      <c r="B145" s="1"/>
      <c r="C145" s="1"/>
      <c r="D145" s="2"/>
      <c r="E145" s="1"/>
      <c r="F145" s="2"/>
      <c r="G145" s="2"/>
      <c r="H145" s="1"/>
      <c r="I145" s="1"/>
      <c r="J145" s="2"/>
      <c r="K145" s="1"/>
      <c r="L145" s="1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1"/>
      <c r="AN145" s="1"/>
    </row>
    <row r="146">
      <c r="A146" s="2"/>
      <c r="B146" s="1"/>
      <c r="C146" s="1"/>
      <c r="D146" s="2"/>
      <c r="E146" s="1"/>
      <c r="F146" s="2"/>
      <c r="G146" s="2"/>
      <c r="H146" s="1"/>
      <c r="I146" s="1"/>
      <c r="J146" s="2"/>
      <c r="K146" s="1"/>
      <c r="L146" s="1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1"/>
      <c r="AN146" s="1"/>
    </row>
    <row r="147">
      <c r="A147" s="2"/>
      <c r="B147" s="1"/>
      <c r="C147" s="1"/>
      <c r="D147" s="2"/>
      <c r="E147" s="1"/>
      <c r="F147" s="2"/>
      <c r="G147" s="2"/>
      <c r="H147" s="1"/>
      <c r="I147" s="1"/>
      <c r="J147" s="2"/>
      <c r="K147" s="1"/>
      <c r="L147" s="1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1"/>
      <c r="AN147" s="1"/>
    </row>
    <row r="148">
      <c r="A148" s="2"/>
      <c r="B148" s="1"/>
      <c r="C148" s="1"/>
      <c r="D148" s="2"/>
      <c r="E148" s="1"/>
      <c r="F148" s="2"/>
      <c r="G148" s="2"/>
      <c r="H148" s="1"/>
      <c r="I148" s="1"/>
      <c r="J148" s="2"/>
      <c r="K148" s="1"/>
      <c r="L148" s="1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1"/>
      <c r="AN148" s="1"/>
    </row>
    <row r="149">
      <c r="A149" s="2"/>
      <c r="B149" s="1"/>
      <c r="C149" s="1"/>
      <c r="D149" s="2"/>
      <c r="E149" s="1"/>
      <c r="F149" s="2"/>
      <c r="G149" s="2"/>
      <c r="H149" s="1"/>
      <c r="I149" s="1"/>
      <c r="J149" s="2"/>
      <c r="K149" s="1"/>
      <c r="L149" s="1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1"/>
      <c r="AN149" s="1"/>
    </row>
    <row r="150">
      <c r="A150" s="2"/>
      <c r="B150" s="1"/>
      <c r="C150" s="1"/>
      <c r="D150" s="2"/>
      <c r="E150" s="1"/>
      <c r="F150" s="2"/>
      <c r="G150" s="2"/>
      <c r="H150" s="1"/>
      <c r="I150" s="1"/>
      <c r="J150" s="2"/>
      <c r="K150" s="1"/>
      <c r="L150" s="1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1"/>
      <c r="AN150" s="1"/>
    </row>
    <row r="151">
      <c r="A151" s="2"/>
      <c r="B151" s="1"/>
      <c r="C151" s="1"/>
      <c r="D151" s="2"/>
      <c r="E151" s="1"/>
      <c r="F151" s="2"/>
      <c r="G151" s="2"/>
      <c r="H151" s="1"/>
      <c r="I151" s="1"/>
      <c r="J151" s="2"/>
      <c r="K151" s="1"/>
      <c r="L151" s="1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1"/>
      <c r="AN151" s="1"/>
    </row>
    <row r="152">
      <c r="A152" s="2"/>
      <c r="B152" s="1"/>
      <c r="C152" s="1"/>
      <c r="D152" s="2"/>
      <c r="E152" s="1"/>
      <c r="F152" s="2"/>
      <c r="G152" s="2"/>
      <c r="H152" s="1"/>
      <c r="I152" s="1"/>
      <c r="J152" s="2"/>
      <c r="K152" s="1"/>
      <c r="L152" s="1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1"/>
      <c r="AN152" s="1"/>
    </row>
    <row r="153">
      <c r="A153" s="2"/>
      <c r="B153" s="1"/>
      <c r="C153" s="1"/>
      <c r="D153" s="2"/>
      <c r="E153" s="1"/>
      <c r="F153" s="2"/>
      <c r="G153" s="2"/>
      <c r="H153" s="1"/>
      <c r="I153" s="1"/>
      <c r="J153" s="2"/>
      <c r="K153" s="1"/>
      <c r="L153" s="1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1"/>
      <c r="AN153" s="1"/>
    </row>
    <row r="154">
      <c r="A154" s="2"/>
      <c r="B154" s="1"/>
      <c r="C154" s="1"/>
      <c r="D154" s="2"/>
      <c r="E154" s="1"/>
      <c r="F154" s="2"/>
      <c r="G154" s="2"/>
      <c r="H154" s="1"/>
      <c r="I154" s="1"/>
      <c r="J154" s="2"/>
      <c r="K154" s="1"/>
      <c r="L154" s="1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1"/>
      <c r="AN154" s="1"/>
    </row>
    <row r="155">
      <c r="A155" s="2"/>
      <c r="B155" s="1"/>
      <c r="C155" s="1"/>
      <c r="D155" s="2"/>
      <c r="E155" s="1"/>
      <c r="F155" s="2"/>
      <c r="G155" s="2"/>
      <c r="H155" s="1"/>
      <c r="I155" s="1"/>
      <c r="J155" s="2"/>
      <c r="K155" s="1"/>
      <c r="L155" s="1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1"/>
      <c r="AN155" s="1"/>
    </row>
    <row r="156">
      <c r="A156" s="2"/>
      <c r="B156" s="1"/>
      <c r="C156" s="1"/>
      <c r="D156" s="2"/>
      <c r="E156" s="1"/>
      <c r="F156" s="2"/>
      <c r="G156" s="2"/>
      <c r="H156" s="1"/>
      <c r="I156" s="1"/>
      <c r="J156" s="2"/>
      <c r="K156" s="1"/>
      <c r="L156" s="1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1"/>
      <c r="AN156" s="1"/>
    </row>
    <row r="157">
      <c r="A157" s="2"/>
      <c r="B157" s="1"/>
      <c r="C157" s="1"/>
      <c r="D157" s="2"/>
      <c r="E157" s="1"/>
      <c r="F157" s="2"/>
      <c r="G157" s="2"/>
      <c r="H157" s="1"/>
      <c r="I157" s="1"/>
      <c r="J157" s="2"/>
      <c r="K157" s="1"/>
      <c r="L157" s="1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1"/>
      <c r="AN157" s="1"/>
    </row>
    <row r="158">
      <c r="A158" s="2"/>
      <c r="B158" s="1"/>
      <c r="C158" s="1"/>
      <c r="D158" s="2"/>
      <c r="E158" s="1"/>
      <c r="F158" s="2"/>
      <c r="G158" s="2"/>
      <c r="H158" s="1"/>
      <c r="I158" s="1"/>
      <c r="J158" s="2"/>
      <c r="K158" s="1"/>
      <c r="L158" s="1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1"/>
      <c r="AN158" s="1"/>
    </row>
    <row r="159">
      <c r="A159" s="2"/>
      <c r="B159" s="1"/>
      <c r="C159" s="1"/>
      <c r="D159" s="2"/>
      <c r="E159" s="1"/>
      <c r="F159" s="2"/>
      <c r="G159" s="2"/>
      <c r="H159" s="1"/>
      <c r="I159" s="1"/>
      <c r="J159" s="2"/>
      <c r="K159" s="1"/>
      <c r="L159" s="1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1"/>
      <c r="AN159" s="1"/>
    </row>
    <row r="160">
      <c r="A160" s="2"/>
      <c r="B160" s="1"/>
      <c r="C160" s="1"/>
      <c r="D160" s="2"/>
      <c r="E160" s="1"/>
      <c r="F160" s="2"/>
      <c r="G160" s="2"/>
      <c r="H160" s="1"/>
      <c r="I160" s="1"/>
      <c r="J160" s="2"/>
      <c r="K160" s="1"/>
      <c r="L160" s="1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1"/>
      <c r="AN160" s="1"/>
    </row>
    <row r="161">
      <c r="A161" s="2"/>
      <c r="B161" s="1"/>
      <c r="C161" s="1"/>
      <c r="D161" s="2"/>
      <c r="E161" s="1"/>
      <c r="F161" s="2"/>
      <c r="G161" s="2"/>
      <c r="H161" s="1"/>
      <c r="I161" s="1"/>
      <c r="J161" s="2"/>
      <c r="K161" s="1"/>
      <c r="L161" s="1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1"/>
      <c r="AN161" s="1"/>
    </row>
    <row r="162">
      <c r="A162" s="2"/>
      <c r="B162" s="1"/>
      <c r="C162" s="1"/>
      <c r="D162" s="2"/>
      <c r="E162" s="1"/>
      <c r="F162" s="2"/>
      <c r="G162" s="2"/>
      <c r="H162" s="1"/>
      <c r="I162" s="1"/>
      <c r="J162" s="2"/>
      <c r="K162" s="1"/>
      <c r="L162" s="1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1"/>
      <c r="AN162" s="1"/>
    </row>
    <row r="163">
      <c r="A163" s="2"/>
      <c r="B163" s="1"/>
      <c r="C163" s="1"/>
      <c r="D163" s="2"/>
      <c r="E163" s="1"/>
      <c r="F163" s="2"/>
      <c r="G163" s="2"/>
      <c r="H163" s="1"/>
      <c r="I163" s="1"/>
      <c r="J163" s="2"/>
      <c r="K163" s="1"/>
      <c r="L163" s="1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1"/>
      <c r="AN163" s="1"/>
    </row>
    <row r="164">
      <c r="A164" s="2"/>
      <c r="B164" s="1"/>
      <c r="C164" s="1"/>
      <c r="D164" s="2"/>
      <c r="E164" s="1"/>
      <c r="F164" s="2"/>
      <c r="G164" s="2"/>
      <c r="H164" s="1"/>
      <c r="I164" s="1"/>
      <c r="J164" s="2"/>
      <c r="K164" s="1"/>
      <c r="L164" s="1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1"/>
      <c r="AN164" s="1"/>
    </row>
    <row r="165">
      <c r="A165" s="2"/>
      <c r="B165" s="1"/>
      <c r="C165" s="1"/>
      <c r="D165" s="2"/>
      <c r="E165" s="1"/>
      <c r="F165" s="2"/>
      <c r="G165" s="2"/>
      <c r="H165" s="1"/>
      <c r="I165" s="1"/>
      <c r="J165" s="2"/>
      <c r="K165" s="1"/>
      <c r="L165" s="1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1"/>
      <c r="AN165" s="1"/>
    </row>
    <row r="166">
      <c r="A166" s="2"/>
      <c r="B166" s="1"/>
      <c r="C166" s="1"/>
      <c r="D166" s="2"/>
      <c r="E166" s="1"/>
      <c r="F166" s="2"/>
      <c r="G166" s="2"/>
      <c r="H166" s="1"/>
      <c r="I166" s="1"/>
      <c r="J166" s="2"/>
      <c r="K166" s="1"/>
      <c r="L166" s="1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1"/>
      <c r="AN166" s="1"/>
    </row>
    <row r="167">
      <c r="A167" s="2"/>
      <c r="B167" s="1"/>
      <c r="C167" s="1"/>
      <c r="D167" s="2"/>
      <c r="E167" s="1"/>
      <c r="F167" s="2"/>
      <c r="G167" s="2"/>
      <c r="H167" s="1"/>
      <c r="I167" s="1"/>
      <c r="J167" s="2"/>
      <c r="K167" s="1"/>
      <c r="L167" s="1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1"/>
      <c r="AN167" s="1"/>
    </row>
    <row r="168">
      <c r="A168" s="2"/>
      <c r="B168" s="1"/>
      <c r="C168" s="1"/>
      <c r="D168" s="2"/>
      <c r="E168" s="1"/>
      <c r="F168" s="2"/>
      <c r="G168" s="2"/>
      <c r="H168" s="1"/>
      <c r="I168" s="1"/>
      <c r="J168" s="2"/>
      <c r="K168" s="1"/>
      <c r="L168" s="1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1"/>
      <c r="AN168" s="1"/>
    </row>
    <row r="169">
      <c r="A169" s="2"/>
      <c r="B169" s="1"/>
      <c r="C169" s="1"/>
      <c r="D169" s="2"/>
      <c r="E169" s="1"/>
      <c r="F169" s="2"/>
      <c r="G169" s="2"/>
      <c r="H169" s="1"/>
      <c r="I169" s="1"/>
      <c r="J169" s="2"/>
      <c r="K169" s="1"/>
      <c r="L169" s="1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1"/>
      <c r="AN169" s="1"/>
    </row>
    <row r="170">
      <c r="A170" s="2"/>
      <c r="B170" s="1"/>
      <c r="C170" s="1"/>
      <c r="D170" s="2"/>
      <c r="E170" s="1"/>
      <c r="F170" s="2"/>
      <c r="G170" s="2"/>
      <c r="H170" s="1"/>
      <c r="I170" s="1"/>
      <c r="J170" s="2"/>
      <c r="K170" s="1"/>
      <c r="L170" s="1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1"/>
      <c r="AN170" s="1"/>
    </row>
    <row r="171">
      <c r="A171" s="2"/>
      <c r="B171" s="1"/>
      <c r="C171" s="1"/>
      <c r="D171" s="2"/>
      <c r="E171" s="1"/>
      <c r="F171" s="2"/>
      <c r="G171" s="2"/>
      <c r="H171" s="1"/>
      <c r="I171" s="1"/>
      <c r="J171" s="2"/>
      <c r="K171" s="1"/>
      <c r="L171" s="1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1"/>
      <c r="AN171" s="1"/>
    </row>
    <row r="172">
      <c r="A172" s="2"/>
      <c r="B172" s="1"/>
      <c r="C172" s="1"/>
      <c r="D172" s="2"/>
      <c r="E172" s="1"/>
      <c r="F172" s="2"/>
      <c r="G172" s="2"/>
      <c r="H172" s="1"/>
      <c r="I172" s="1"/>
      <c r="J172" s="2"/>
      <c r="K172" s="1"/>
      <c r="L172" s="1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1"/>
      <c r="AN172" s="1"/>
    </row>
    <row r="173">
      <c r="A173" s="2"/>
      <c r="B173" s="1"/>
      <c r="C173" s="1"/>
      <c r="D173" s="2"/>
      <c r="E173" s="1"/>
      <c r="F173" s="2"/>
      <c r="G173" s="2"/>
      <c r="H173" s="1"/>
      <c r="I173" s="1"/>
      <c r="J173" s="2"/>
      <c r="K173" s="1"/>
      <c r="L173" s="1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1"/>
      <c r="AN173" s="1"/>
    </row>
    <row r="174">
      <c r="A174" s="2"/>
      <c r="B174" s="1"/>
      <c r="C174" s="1"/>
      <c r="D174" s="2"/>
      <c r="E174" s="1"/>
      <c r="F174" s="2"/>
      <c r="G174" s="2"/>
      <c r="H174" s="1"/>
      <c r="I174" s="1"/>
      <c r="J174" s="2"/>
      <c r="K174" s="1"/>
      <c r="L174" s="1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1"/>
      <c r="AN174" s="1"/>
    </row>
    <row r="175">
      <c r="A175" s="2"/>
      <c r="B175" s="1"/>
      <c r="C175" s="1"/>
      <c r="D175" s="2"/>
      <c r="E175" s="1"/>
      <c r="F175" s="2"/>
      <c r="G175" s="2"/>
      <c r="H175" s="1"/>
      <c r="I175" s="1"/>
      <c r="J175" s="2"/>
      <c r="K175" s="1"/>
      <c r="L175" s="1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1"/>
      <c r="AN175" s="1"/>
    </row>
    <row r="176">
      <c r="A176" s="2"/>
      <c r="B176" s="1"/>
      <c r="C176" s="1"/>
      <c r="D176" s="2"/>
      <c r="E176" s="1"/>
      <c r="F176" s="2"/>
      <c r="G176" s="2"/>
      <c r="H176" s="1"/>
      <c r="I176" s="1"/>
      <c r="J176" s="2"/>
      <c r="K176" s="1"/>
      <c r="L176" s="1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1"/>
      <c r="AN176" s="1"/>
    </row>
    <row r="177">
      <c r="A177" s="2"/>
      <c r="B177" s="1"/>
      <c r="C177" s="1"/>
      <c r="D177" s="2"/>
      <c r="E177" s="1"/>
      <c r="F177" s="2"/>
      <c r="G177" s="2"/>
      <c r="H177" s="1"/>
      <c r="I177" s="1"/>
      <c r="J177" s="2"/>
      <c r="K177" s="1"/>
      <c r="L177" s="1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1"/>
      <c r="AN177" s="1"/>
    </row>
    <row r="178">
      <c r="A178" s="2"/>
      <c r="B178" s="1"/>
      <c r="C178" s="1"/>
      <c r="D178" s="2"/>
      <c r="E178" s="1"/>
      <c r="F178" s="2"/>
      <c r="G178" s="2"/>
      <c r="H178" s="1"/>
      <c r="I178" s="1"/>
      <c r="J178" s="2"/>
      <c r="K178" s="1"/>
      <c r="L178" s="1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1"/>
      <c r="AN178" s="1"/>
    </row>
    <row r="179">
      <c r="A179" s="2"/>
      <c r="B179" s="1"/>
      <c r="C179" s="1"/>
      <c r="D179" s="2"/>
      <c r="E179" s="1"/>
      <c r="F179" s="2"/>
      <c r="G179" s="2"/>
      <c r="H179" s="1"/>
      <c r="I179" s="1"/>
      <c r="J179" s="2"/>
      <c r="K179" s="1"/>
      <c r="L179" s="1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1"/>
      <c r="AN179" s="1"/>
    </row>
    <row r="180">
      <c r="A180" s="2"/>
      <c r="B180" s="1"/>
      <c r="C180" s="1"/>
      <c r="D180" s="2"/>
      <c r="E180" s="1"/>
      <c r="F180" s="2"/>
      <c r="G180" s="2"/>
      <c r="H180" s="1"/>
      <c r="I180" s="1"/>
      <c r="J180" s="2"/>
      <c r="K180" s="1"/>
      <c r="L180" s="1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1"/>
      <c r="AN180" s="1"/>
    </row>
    <row r="181">
      <c r="A181" s="2"/>
      <c r="B181" s="1"/>
      <c r="C181" s="1"/>
      <c r="D181" s="2"/>
      <c r="E181" s="1"/>
      <c r="F181" s="2"/>
      <c r="G181" s="2"/>
      <c r="H181" s="1"/>
      <c r="I181" s="1"/>
      <c r="J181" s="2"/>
      <c r="K181" s="1"/>
      <c r="L181" s="1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1"/>
      <c r="AN181" s="1"/>
    </row>
    <row r="182">
      <c r="A182" s="2"/>
      <c r="B182" s="1"/>
      <c r="C182" s="1"/>
      <c r="D182" s="2"/>
      <c r="E182" s="1"/>
      <c r="F182" s="2"/>
      <c r="G182" s="2"/>
      <c r="H182" s="1"/>
      <c r="I182" s="1"/>
      <c r="J182" s="2"/>
      <c r="K182" s="1"/>
      <c r="L182" s="1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1"/>
      <c r="AN182" s="1"/>
    </row>
    <row r="183">
      <c r="A183" s="2"/>
      <c r="B183" s="1"/>
      <c r="C183" s="1"/>
      <c r="D183" s="2"/>
      <c r="E183" s="1"/>
      <c r="F183" s="2"/>
      <c r="G183" s="2"/>
      <c r="H183" s="1"/>
      <c r="I183" s="1"/>
      <c r="J183" s="2"/>
      <c r="K183" s="1"/>
      <c r="L183" s="1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1"/>
      <c r="AN183" s="1"/>
    </row>
    <row r="184">
      <c r="A184" s="2"/>
      <c r="B184" s="1"/>
      <c r="C184" s="1"/>
      <c r="D184" s="2"/>
      <c r="E184" s="1"/>
      <c r="F184" s="2"/>
      <c r="G184" s="2"/>
      <c r="H184" s="1"/>
      <c r="I184" s="1"/>
      <c r="J184" s="2"/>
      <c r="K184" s="1"/>
      <c r="L184" s="1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1"/>
      <c r="AN184" s="1"/>
    </row>
    <row r="185">
      <c r="A185" s="2"/>
      <c r="B185" s="1"/>
      <c r="C185" s="1"/>
      <c r="D185" s="2"/>
      <c r="E185" s="1"/>
      <c r="F185" s="2"/>
      <c r="G185" s="2"/>
      <c r="H185" s="1"/>
      <c r="I185" s="1"/>
      <c r="J185" s="2"/>
      <c r="K185" s="1"/>
      <c r="L185" s="1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1"/>
      <c r="AN185" s="1"/>
    </row>
    <row r="186">
      <c r="A186" s="2"/>
      <c r="B186" s="1"/>
      <c r="C186" s="1"/>
      <c r="D186" s="2"/>
      <c r="E186" s="1"/>
      <c r="F186" s="2"/>
      <c r="G186" s="2"/>
      <c r="H186" s="1"/>
      <c r="I186" s="1"/>
      <c r="J186" s="2"/>
      <c r="K186" s="1"/>
      <c r="L186" s="1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1"/>
      <c r="AN186" s="1"/>
    </row>
    <row r="187">
      <c r="A187" s="2"/>
      <c r="B187" s="1"/>
      <c r="C187" s="1"/>
      <c r="D187" s="2"/>
      <c r="E187" s="1"/>
      <c r="F187" s="2"/>
      <c r="G187" s="2"/>
      <c r="H187" s="1"/>
      <c r="I187" s="1"/>
      <c r="J187" s="2"/>
      <c r="K187" s="1"/>
      <c r="L187" s="1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1"/>
      <c r="AN187" s="1"/>
    </row>
    <row r="188">
      <c r="A188" s="2"/>
      <c r="B188" s="1"/>
      <c r="C188" s="1"/>
      <c r="D188" s="2"/>
      <c r="E188" s="1"/>
      <c r="F188" s="2"/>
      <c r="G188" s="2"/>
      <c r="H188" s="1"/>
      <c r="I188" s="1"/>
      <c r="J188" s="2"/>
      <c r="K188" s="1"/>
      <c r="L188" s="1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1"/>
      <c r="AN188" s="1"/>
    </row>
    <row r="189">
      <c r="A189" s="2"/>
      <c r="B189" s="1"/>
      <c r="C189" s="1"/>
      <c r="D189" s="2"/>
      <c r="E189" s="1"/>
      <c r="F189" s="2"/>
      <c r="G189" s="2"/>
      <c r="H189" s="1"/>
      <c r="I189" s="1"/>
      <c r="J189" s="2"/>
      <c r="K189" s="1"/>
      <c r="L189" s="1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1"/>
      <c r="AN189" s="1"/>
    </row>
    <row r="190">
      <c r="A190" s="2"/>
      <c r="B190" s="1"/>
      <c r="C190" s="1"/>
      <c r="D190" s="2"/>
      <c r="E190" s="1"/>
      <c r="F190" s="2"/>
      <c r="G190" s="2"/>
      <c r="H190" s="1"/>
      <c r="I190" s="1"/>
      <c r="J190" s="2"/>
      <c r="K190" s="1"/>
      <c r="L190" s="1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1"/>
      <c r="AN190" s="1"/>
    </row>
    <row r="191">
      <c r="A191" s="2"/>
      <c r="B191" s="1"/>
      <c r="C191" s="1"/>
      <c r="D191" s="2"/>
      <c r="E191" s="1"/>
      <c r="F191" s="2"/>
      <c r="G191" s="2"/>
      <c r="H191" s="1"/>
      <c r="I191" s="1"/>
      <c r="J191" s="2"/>
      <c r="K191" s="1"/>
      <c r="L191" s="1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1"/>
      <c r="AN191" s="1"/>
    </row>
    <row r="192">
      <c r="A192" s="2"/>
      <c r="B192" s="1"/>
      <c r="C192" s="1"/>
      <c r="D192" s="2"/>
      <c r="E192" s="1"/>
      <c r="F192" s="2"/>
      <c r="G192" s="2"/>
      <c r="H192" s="1"/>
      <c r="I192" s="1"/>
      <c r="J192" s="2"/>
      <c r="K192" s="1"/>
      <c r="L192" s="1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1"/>
      <c r="AN192" s="1"/>
    </row>
    <row r="193">
      <c r="A193" s="2"/>
      <c r="B193" s="1"/>
      <c r="C193" s="1"/>
      <c r="D193" s="2"/>
      <c r="E193" s="1"/>
      <c r="F193" s="2"/>
      <c r="G193" s="2"/>
      <c r="H193" s="1"/>
      <c r="I193" s="1"/>
      <c r="J193" s="2"/>
      <c r="K193" s="1"/>
      <c r="L193" s="1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1"/>
      <c r="AN193" s="1"/>
    </row>
    <row r="194">
      <c r="A194" s="2"/>
      <c r="B194" s="1"/>
      <c r="C194" s="1"/>
      <c r="D194" s="2"/>
      <c r="E194" s="1"/>
      <c r="F194" s="2"/>
      <c r="G194" s="2"/>
      <c r="H194" s="1"/>
      <c r="I194" s="1"/>
      <c r="J194" s="2"/>
      <c r="K194" s="1"/>
      <c r="L194" s="1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1"/>
      <c r="AN194" s="1"/>
    </row>
    <row r="195">
      <c r="A195" s="2"/>
      <c r="B195" s="1"/>
      <c r="C195" s="1"/>
      <c r="D195" s="2"/>
      <c r="E195" s="1"/>
      <c r="F195" s="2"/>
      <c r="G195" s="2"/>
      <c r="H195" s="1"/>
      <c r="I195" s="1"/>
      <c r="J195" s="2"/>
      <c r="K195" s="1"/>
      <c r="L195" s="1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1"/>
      <c r="AN195" s="1"/>
    </row>
    <row r="196">
      <c r="A196" s="2"/>
      <c r="B196" s="1"/>
      <c r="C196" s="1"/>
      <c r="D196" s="2"/>
      <c r="E196" s="1"/>
      <c r="F196" s="2"/>
      <c r="G196" s="2"/>
      <c r="H196" s="1"/>
      <c r="I196" s="1"/>
      <c r="J196" s="2"/>
      <c r="K196" s="1"/>
      <c r="L196" s="1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1"/>
      <c r="AN196" s="1"/>
    </row>
    <row r="197">
      <c r="A197" s="2"/>
      <c r="B197" s="1"/>
      <c r="C197" s="1"/>
      <c r="D197" s="2"/>
      <c r="E197" s="1"/>
      <c r="F197" s="2"/>
      <c r="G197" s="2"/>
      <c r="H197" s="1"/>
      <c r="I197" s="1"/>
      <c r="J197" s="2"/>
      <c r="K197" s="1"/>
      <c r="L197" s="1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1"/>
      <c r="AN197" s="1"/>
    </row>
    <row r="198">
      <c r="A198" s="2"/>
      <c r="B198" s="1"/>
      <c r="C198" s="1"/>
      <c r="D198" s="2"/>
      <c r="E198" s="1"/>
      <c r="F198" s="2"/>
      <c r="G198" s="2"/>
      <c r="H198" s="1"/>
      <c r="I198" s="1"/>
      <c r="J198" s="2"/>
      <c r="K198" s="1"/>
      <c r="L198" s="1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1"/>
      <c r="AN198" s="1"/>
    </row>
    <row r="199">
      <c r="A199" s="2"/>
      <c r="B199" s="1"/>
      <c r="C199" s="1"/>
      <c r="D199" s="2"/>
      <c r="E199" s="1"/>
      <c r="F199" s="2"/>
      <c r="G199" s="2"/>
      <c r="H199" s="1"/>
      <c r="I199" s="1"/>
      <c r="J199" s="2"/>
      <c r="K199" s="1"/>
      <c r="L199" s="1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1"/>
      <c r="AN199" s="1"/>
    </row>
    <row r="200">
      <c r="A200" s="2"/>
      <c r="B200" s="1"/>
      <c r="C200" s="1"/>
      <c r="D200" s="2"/>
      <c r="E200" s="1"/>
      <c r="F200" s="2"/>
      <c r="G200" s="2"/>
      <c r="H200" s="1"/>
      <c r="I200" s="1"/>
      <c r="J200" s="2"/>
      <c r="K200" s="1"/>
      <c r="L200" s="1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1"/>
      <c r="AN200" s="1"/>
    </row>
    <row r="201">
      <c r="A201" s="2"/>
      <c r="B201" s="1"/>
      <c r="C201" s="1"/>
      <c r="D201" s="2"/>
      <c r="E201" s="1"/>
      <c r="F201" s="2"/>
      <c r="G201" s="2"/>
      <c r="H201" s="1"/>
      <c r="I201" s="1"/>
      <c r="J201" s="2"/>
      <c r="K201" s="1"/>
      <c r="L201" s="1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1"/>
      <c r="AN201" s="1"/>
    </row>
    <row r="202">
      <c r="A202" s="2"/>
      <c r="B202" s="1"/>
      <c r="C202" s="1"/>
      <c r="D202" s="2"/>
      <c r="E202" s="1"/>
      <c r="F202" s="2"/>
      <c r="G202" s="2"/>
      <c r="H202" s="1"/>
      <c r="I202" s="1"/>
      <c r="J202" s="2"/>
      <c r="K202" s="1"/>
      <c r="L202" s="1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1"/>
      <c r="AN202" s="1"/>
    </row>
    <row r="203">
      <c r="A203" s="2"/>
      <c r="B203" s="1"/>
      <c r="C203" s="1"/>
      <c r="D203" s="2"/>
      <c r="E203" s="1"/>
      <c r="F203" s="2"/>
      <c r="G203" s="2"/>
      <c r="H203" s="1"/>
      <c r="I203" s="1"/>
      <c r="J203" s="2"/>
      <c r="K203" s="1"/>
      <c r="L203" s="1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1"/>
      <c r="AN203" s="1"/>
    </row>
  </sheetData>
  <mergeCells>
    <mergeCell ref="A8:A17"/>
    <mergeCell ref="A18:A27"/>
    <mergeCell ref="A28:A32"/>
    <mergeCell ref="A34:A5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